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t\Desktop\Roberta\Curso Excel Santander com IA\Projeto 3 - Criação de Dashboard de Vendas\"/>
    </mc:Choice>
  </mc:AlternateContent>
  <bookViews>
    <workbookView xWindow="-120" yWindow="-120" windowWidth="20730" windowHeight="11040" tabRatio="57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3" l="1"/>
  <c r="E32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<sst xmlns="http://schemas.openxmlformats.org/spreadsheetml/2006/main" count="2022" uniqueCount="324">
  <si>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</si>
  <si>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</si>
  <si>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</si>
  <si>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</si>
  <si>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</si>
  <si>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</si>
  <si>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</si>
  <si>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</si>
  <si>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</si>
  <si>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</si>
  <si>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</si>
  <si>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</si>
  <si>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</si>
  <si>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</si>
  <si>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</si>
  <si>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</si>
  <si>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</si>
  <si>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</si>
  <si>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</si>
  <si>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</si>
  <si>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</si>
  <si>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</si>
  <si>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</si>
  <si>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</si>
  <si>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</si>
  <si>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</si>
  <si>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</si>
  <si>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</si>
  <si>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</si>
  <si>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</si>
  <si>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</si>
  <si>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</si>
  <si>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</si>
  <si>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</si>
  <si>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</si>
  <si>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</si>
  <si>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</si>
  <si>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</si>
  <si>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</si>
  <si>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</si>
  <si>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</si>
  <si>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</si>
  <si>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</si>
  <si>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</si>
  <si>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</si>
  <si>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</si>
  <si>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</si>
  <si>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</si>
  <si>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</si>
  <si>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</si>
  <si>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</si>
  <si>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</si>
  <si>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</si>
  <si>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</si>
  <si>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</si>
  <si>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</si>
  <si>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</si>
  <si>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</si>
  <si>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</si>
  <si>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</si>
  <si>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</si>
  <si>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</si>
  <si>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</si>
  <si>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</si>
  <si>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</si>
  <si>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</si>
  <si>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</si>
  <si>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</si>
  <si>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</si>
  <si>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</si>
  <si>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</si>
  <si>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</si>
  <si>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</si>
  <si>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</si>
  <si>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</si>
  <si>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</si>
  <si>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</si>
  <si>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</si>
  <si>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</si>
  <si>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</si>
  <si>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</si>
  <si>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</si>
  <si>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</si>
  <si>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</si>
  <si>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</si>
  <si>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</si>
  <si>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</si>
  <si>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</si>
  <si>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</si>
  <si>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</si>
  <si>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</si>
  <si>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</si>
  <si>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</si>
  <si>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</si>
  <si>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</si>
  <si>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</si>
  <si>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</si>
  <si>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</si>
  <si>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</si>
  <si>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</si>
  <si>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</si>
  <si>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</si>
  <si>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</si>
  <si>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</si>
  <si>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</si>
  <si>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</si>
  <si>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</si>
  <si>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</si>
  <si>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</si>
  <si>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</si>
  <si>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</si>
  <si>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</si>
  <si>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</si>
  <si>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</si>
  <si>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</si>
  <si>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</si>
  <si>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</si>
  <si>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</si>
  <si>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</si>
  <si>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</si>
  <si>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</si>
  <si>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</si>
  <si>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</si>
  <si>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</si>
  <si>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</si>
  <si>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</si>
  <si>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</si>
  <si>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</si>
  <si>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</si>
  <si>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</si>
  <si>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</si>
  <si>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</si>
  <si>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</si>
  <si>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</si>
  <si>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</si>
  <si>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</si>
  <si>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</si>
  <si>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</si>
  <si>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</si>
  <si>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</si>
  <si>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</si>
  <si>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</si>
  <si>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</si>
  <si>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</si>
  <si>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</si>
  <si>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</si>
  <si>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</si>
  <si>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</si>
  <si>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</si>
  <si>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</si>
  <si>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</si>
  <si>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</si>
  <si>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</si>
  <si>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</si>
  <si>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</si>
  <si>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</si>
  <si>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</si>
  <si>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</si>
  <si>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</si>
  <si>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</si>
  <si>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</si>
  <si>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</si>
  <si>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</si>
  <si>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</si>
  <si>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</si>
  <si>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</si>
  <si>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</si>
  <si>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</si>
  <si>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</si>
  <si>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</si>
  <si>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</si>
  <si>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</si>
  <si>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</si>
  <si>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</si>
  <si>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</si>
  <si>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</si>
  <si>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</si>
  <si>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</si>
  <si>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</si>
  <si>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</si>
  <si>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</si>
  <si>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</si>
  <si>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</si>
  <si>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</si>
  <si>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</si>
  <si>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</si>
  <si>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</si>
  <si>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</si>
  <si>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</si>
  <si>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</si>
  <si>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</si>
  <si>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</si>
  <si>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</si>
  <si>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</si>
  <si>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</si>
  <si>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</si>
  <si>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</si>
  <si>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</si>
  <si>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</si>
  <si>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</si>
  <si>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</si>
  <si>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</si>
  <si>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</si>
  <si>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</si>
  <si>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</si>
  <si>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</si>
  <si>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</si>
  <si>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</si>
  <si>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</si>
  <si>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</si>
  <si>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</si>
  <si>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</si>
  <si>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</si>
  <si>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</si>
  <si>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</si>
  <si>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</si>
  <si>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</si>
  <si>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</si>
  <si>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</si>
  <si>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</si>
  <si>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</si>
  <si>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</si>
  <si>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</si>
  <si>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</si>
  <si>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</si>
  <si>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</si>
  <si>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</si>
  <si>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</si>
  <si>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</si>
  <si>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</si>
  <si>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</si>
  <si>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</si>
  <si>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</si>
  <si>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</si>
  <si>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</si>
  <si>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</si>
  <si>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</si>
  <si>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</si>
  <si>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</si>
  <si>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</si>
  <si>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</si>
  <si>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</si>
  <si>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</si>
  <si>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</si>
  <si>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</si>
  <si>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</si>
  <si>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</si>
  <si>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</si>
  <si>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</si>
  <si>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</si>
  <si>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</si>
  <si>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</si>
  <si>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</si>
  <si>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</si>
  <si>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</si>
  <si>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</si>
  <si>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</si>
  <si>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</si>
  <si>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</si>
  <si>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</si>
  <si>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</si>
  <si>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</si>
  <si>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</si>
  <si>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</si>
  <si>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</si>
  <si>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</si>
  <si>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</si>
  <si>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</si>
  <si>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</si>
  <si>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</si>
  <si>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</si>
  <si>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</si>
  <si>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</si>
  <si>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</si>
  <si>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</si>
  <si>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</si>
  <si>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</si>
  <si>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</si>
  <si>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</si>
  <si>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</si>
  <si>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</si>
  <si>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</si>
  <si>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</si>
  <si>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</si>
  <si>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</si>
  <si>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</si>
  <si>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</si>
  <si>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</si>
  <si>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</si>
  <si>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</si>
  <si>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</si>
  <si>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</si>
  <si>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</si>
  <si>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</si>
  <si>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</si>
  <si>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</si>
  <si>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</si>
  <si>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</si>
  <si>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</si>
  <si>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</si>
  <si>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</si>
  <si>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</si>
  <si>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</si>
  <si>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</si>
  <si>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</si>
  <si>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</si>
  <si>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</si>
  <si>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</si>
  <si>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</si>
  <si>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</si>
  <si>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</si>
  <si>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</si>
  <si>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</si>
  <si>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</si>
  <si>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Pergunta de Negócio 1 - Qual faturamento Total de vendas de planos anuais (contendo todas as assinaturas agregadas)</t>
  </si>
  <si>
    <t>Rótulos de Linha</t>
  </si>
  <si>
    <t>Total Geral</t>
  </si>
  <si>
    <t>Soma de Total Value</t>
  </si>
  <si>
    <t>Soma de Minecraft Season Pass Price</t>
  </si>
  <si>
    <t xml:space="preserve">Pergunta de Negócio 2 - Qual faturamento Total de vendas de planos anuais separado por autorenovação ou não </t>
  </si>
  <si>
    <t>XBOX GAME PASS SUBSCRIPTIONS SALES</t>
  </si>
  <si>
    <t>Pergunta de Negócio 3 -Total de vendas de assinaturas EA Play</t>
  </si>
  <si>
    <t>Soma de EA Play Season Pass</t>
  </si>
  <si>
    <t>Pergunta de Negócio 4 -Total de vendas de assinaturas Minicraft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</si>
</sst>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8" borderId="0" xfId="0" applyFill="1"/>
    <xf numFmtId="0" fontId="4" fillId="0" borderId="2" xfId="1" applyFont="1" applyBorder="1"/>
    <xf numFmtId="0" fontId="4" fillId="0" borderId="0" xfId="1" applyFont="1" applyBorder="1"/>
    <xf numFmtId="0" fontId="0" fillId="0" borderId="0" xfId="0" applyBorder="1"/>
  </cellXfs>
  <cellStyles count="3">
    <cellStyle name="Moeda" xfId="2" builtinId="4"/>
    <cellStyle name="Normal" xfId="0" builtinId="0"/>
    <cellStyle name="Título 1" xfId="1" builtinId="16"/>
  </cellStyles>
  <dxfs count="205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b/>
        <i val="0"/>
        <color theme="1"/>
      </font>
      <fill>
        <patternFill patternType="solid">
          <fgColor rgb="FF22C55E"/>
          <bgColor auto="1"/>
        </patternFill>
      </fill>
      <border diagonalUp="0" diagonalDown="0">
        <left/>
        <right/>
        <top/>
        <bottom/>
        <vertical/>
        <horizontal/>
      </border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>
      <tableStyleElement type="wholeTable" dxfId="184"/>
      <tableStyleElement type="headerRow" dxfId="183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dashboard.xlsx]C̳álculos!tbl_annual_total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0957787950982805E-2"/>
          <c:y val="0.24396782841823056"/>
          <c:w val="0.80323831125383838"/>
          <c:h val="0.642930606892248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C̳álculos!$B$15:$B$17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C̳álculos!$C$15:$C$17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6-458C-9AE3-D5299D149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488447"/>
        <c:axId val="1579487615"/>
      </c:barChart>
      <c:catAx>
        <c:axId val="15794884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9487615"/>
        <c:crosses val="autoZero"/>
        <c:auto val="1"/>
        <c:lblAlgn val="ctr"/>
        <c:lblOffset val="100"/>
        <c:noMultiLvlLbl val="0"/>
      </c:catAx>
      <c:valAx>
        <c:axId val="1579487615"/>
        <c:scaling>
          <c:orientation val="minMax"/>
        </c:scaling>
        <c:delete val="1"/>
        <c:axPos val="b"/>
        <c:numFmt formatCode="&quot;R$&quot;\ #,##0.00" sourceLinked="1"/>
        <c:majorTickMark val="out"/>
        <c:minorTickMark val="none"/>
        <c:tickLblPos val="nextTo"/>
        <c:crossAx val="157948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9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38100</xdr:rowOff>
    </xdr:from>
    <xdr:to>
      <xdr:col>5</xdr:col>
      <xdr:colOff>400050</xdr:colOff>
      <xdr:row>20</xdr:row>
      <xdr:rowOff>107823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24175"/>
          <a:ext cx="3267075" cy="974598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835735</xdr:colOff>
      <xdr:row>1</xdr:row>
      <xdr:rowOff>95776</xdr:rowOff>
    </xdr:from>
    <xdr:to>
      <xdr:col>1</xdr:col>
      <xdr:colOff>57150</xdr:colOff>
      <xdr:row>4</xdr:row>
      <xdr:rowOff>59531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735" y="372001"/>
          <a:ext cx="2107490" cy="63050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6</xdr:row>
      <xdr:rowOff>154782</xdr:rowOff>
    </xdr:from>
    <xdr:to>
      <xdr:col>0</xdr:col>
      <xdr:colOff>2726531</xdr:colOff>
      <xdr:row>14</xdr:row>
      <xdr:rowOff>35720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459707"/>
              <a:ext cx="2631281" cy="1328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123825</xdr:colOff>
      <xdr:row>5</xdr:row>
      <xdr:rowOff>9525</xdr:rowOff>
    </xdr:from>
    <xdr:to>
      <xdr:col>7</xdr:col>
      <xdr:colOff>47625</xdr:colOff>
      <xdr:row>13</xdr:row>
      <xdr:rowOff>38099</xdr:rowOff>
    </xdr:to>
    <xdr:grpSp>
      <xdr:nvGrpSpPr>
        <xdr:cNvPr id="15" name="Agrupar 14"/>
        <xdr:cNvGrpSpPr/>
      </xdr:nvGrpSpPr>
      <xdr:grpSpPr>
        <a:xfrm>
          <a:off x="3009900" y="1133475"/>
          <a:ext cx="3629025" cy="1476374"/>
          <a:chOff x="2990850" y="1104901"/>
          <a:chExt cx="3629025" cy="1476374"/>
        </a:xfrm>
      </xdr:grpSpPr>
      <xdr:sp macro="" textlink="C̳álculos!E32">
        <xdr:nvSpPr>
          <xdr:cNvPr id="11" name="Retângulo Arredondado 10"/>
          <xdr:cNvSpPr/>
        </xdr:nvSpPr>
        <xdr:spPr>
          <a:xfrm>
            <a:off x="2990850" y="1133475"/>
            <a:ext cx="3619500" cy="14478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r"/>
            <a:fld id="{4C8D2058-3E07-465A-8AD0-C7DC346EF2EF}" type="TxLink">
              <a:rPr lang="en-US" sz="2800" b="1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r"/>
              <a:t>R$ 600,00</a:t>
            </a:fld>
            <a:endParaRPr lang="en-US" sz="2800" b="1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57525" y="1295400"/>
            <a:ext cx="1371600" cy="1152525"/>
          </a:xfrm>
          <a:prstGeom prst="rect">
            <a:avLst/>
          </a:prstGeom>
          <a:solidFill>
            <a:schemeClr val="bg1"/>
          </a:solidFill>
          <a:ln>
            <a:noFill/>
          </a:ln>
        </xdr:spPr>
      </xdr:pic>
      <xdr:sp macro="" textlink="">
        <xdr:nvSpPr>
          <xdr:cNvPr id="14" name="Arredondar Retângulo no Mesmo Canto Lateral 13"/>
          <xdr:cNvSpPr/>
        </xdr:nvSpPr>
        <xdr:spPr>
          <a:xfrm>
            <a:off x="2990851" y="1104901"/>
            <a:ext cx="3629024" cy="4000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</a:rPr>
              <a:t>TOTAL</a:t>
            </a:r>
            <a:r>
              <a:rPr lang="pt-BR" sz="1100" b="1" baseline="0">
                <a:solidFill>
                  <a:schemeClr val="bg1"/>
                </a:solidFill>
              </a:rPr>
              <a:t> SUBSCRIPTIONS EA PLAY SEASON PASS</a:t>
            </a:r>
            <a:endParaRPr lang="pt-B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361950</xdr:colOff>
      <xdr:row>5</xdr:row>
      <xdr:rowOff>9525</xdr:rowOff>
    </xdr:from>
    <xdr:to>
      <xdr:col>13</xdr:col>
      <xdr:colOff>57150</xdr:colOff>
      <xdr:row>13</xdr:row>
      <xdr:rowOff>38099</xdr:rowOff>
    </xdr:to>
    <xdr:grpSp>
      <xdr:nvGrpSpPr>
        <xdr:cNvPr id="26" name="Agrupar 25"/>
        <xdr:cNvGrpSpPr/>
      </xdr:nvGrpSpPr>
      <xdr:grpSpPr>
        <a:xfrm>
          <a:off x="6953250" y="1133475"/>
          <a:ext cx="3629025" cy="1476374"/>
          <a:chOff x="7162800" y="1152525"/>
          <a:chExt cx="3629025" cy="1476374"/>
        </a:xfrm>
      </xdr:grpSpPr>
      <xdr:grpSp>
        <xdr:nvGrpSpPr>
          <xdr:cNvPr id="16" name="Agrupar 15"/>
          <xdr:cNvGrpSpPr/>
        </xdr:nvGrpSpPr>
        <xdr:grpSpPr>
          <a:xfrm>
            <a:off x="7162800" y="1152525"/>
            <a:ext cx="3629025" cy="1476374"/>
            <a:chOff x="2990850" y="1104901"/>
            <a:chExt cx="3629025" cy="1476374"/>
          </a:xfrm>
        </xdr:grpSpPr>
        <xdr:sp macro="" textlink="C̳álculos!E44">
          <xdr:nvSpPr>
            <xdr:cNvPr id="17" name="Retângulo Arredondado 16"/>
            <xdr:cNvSpPr/>
          </xdr:nvSpPr>
          <xdr:spPr>
            <a:xfrm>
              <a:off x="2990850" y="1133475"/>
              <a:ext cx="3619500" cy="14478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73AF819A-75FC-4E73-9CCF-1B5413D00E14}" type="TxLink">
                <a:rPr lang="en-US" sz="2800" b="1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en-US" sz="2800" b="1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9" name="Arredondar Retângulo no Mesmo Canto Lateral 18"/>
            <xdr:cNvSpPr/>
          </xdr:nvSpPr>
          <xdr:spPr>
            <a:xfrm>
              <a:off x="2990851" y="1104901"/>
              <a:ext cx="3629024" cy="4000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50" b="1">
                  <a:solidFill>
                    <a:schemeClr val="bg1"/>
                  </a:solidFill>
                </a:rPr>
                <a:t>TOTAL</a:t>
              </a:r>
              <a:r>
                <a:rPr lang="pt-BR" sz="1050" b="1" baseline="0">
                  <a:solidFill>
                    <a:schemeClr val="bg1"/>
                  </a:solidFill>
                </a:rPr>
                <a:t> SUBSCRIPTIONS MINECRAFT SEASON PASS</a:t>
              </a:r>
              <a:endParaRPr lang="pt-BR" sz="105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305675" y="1666876"/>
            <a:ext cx="1238250" cy="685800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114300</xdr:colOff>
      <xdr:row>14</xdr:row>
      <xdr:rowOff>47625</xdr:rowOff>
    </xdr:from>
    <xdr:to>
      <xdr:col>13</xdr:col>
      <xdr:colOff>57150</xdr:colOff>
      <xdr:row>27</xdr:row>
      <xdr:rowOff>66675</xdr:rowOff>
    </xdr:to>
    <xdr:grpSp>
      <xdr:nvGrpSpPr>
        <xdr:cNvPr id="29" name="Agrupar 28"/>
        <xdr:cNvGrpSpPr/>
      </xdr:nvGrpSpPr>
      <xdr:grpSpPr>
        <a:xfrm>
          <a:off x="3000375" y="2800350"/>
          <a:ext cx="7581900" cy="2371725"/>
          <a:chOff x="3000375" y="2800350"/>
          <a:chExt cx="7581900" cy="2371725"/>
        </a:xfrm>
      </xdr:grpSpPr>
      <xdr:graphicFrame macro="">
        <xdr:nvGraphicFramePr>
          <xdr:cNvPr id="9" name="Gráfico 8"/>
          <xdr:cNvGraphicFramePr>
            <a:graphicFrameLocks/>
          </xdr:cNvGraphicFramePr>
        </xdr:nvGraphicFramePr>
        <xdr:xfrm>
          <a:off x="3002754" y="2902743"/>
          <a:ext cx="7569995" cy="2269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28" name="Arredondar Retângulo no Mesmo Canto Lateral 27"/>
          <xdr:cNvSpPr/>
        </xdr:nvSpPr>
        <xdr:spPr>
          <a:xfrm>
            <a:off x="3000375" y="2800350"/>
            <a:ext cx="7581900" cy="4000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</a:rPr>
              <a:t>TOTAL</a:t>
            </a:r>
            <a:r>
              <a:rPr lang="pt-BR" sz="1100" b="1" baseline="0">
                <a:solidFill>
                  <a:schemeClr val="bg1"/>
                </a:solidFill>
              </a:rPr>
              <a:t> SUBSCRIPTIONS XBOX GAME PASS</a:t>
            </a:r>
            <a:endParaRPr lang="pt-B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85725</xdr:colOff>
      <xdr:row>1</xdr:row>
      <xdr:rowOff>123825</xdr:rowOff>
    </xdr:from>
    <xdr:to>
      <xdr:col>0</xdr:col>
      <xdr:colOff>857250</xdr:colOff>
      <xdr:row>4</xdr:row>
      <xdr:rowOff>114300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85725" y="400050"/>
          <a:ext cx="771525" cy="657225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1028699</xdr:colOff>
      <xdr:row>4</xdr:row>
      <xdr:rowOff>38100</xdr:rowOff>
    </xdr:from>
    <xdr:to>
      <xdr:col>0</xdr:col>
      <xdr:colOff>2790824</xdr:colOff>
      <xdr:row>5</xdr:row>
      <xdr:rowOff>171450</xdr:rowOff>
    </xdr:to>
    <xdr:sp macro="" textlink="">
      <xdr:nvSpPr>
        <xdr:cNvPr id="31" name="Retângulo 30"/>
        <xdr:cNvSpPr/>
      </xdr:nvSpPr>
      <xdr:spPr>
        <a:xfrm>
          <a:off x="1028699" y="981075"/>
          <a:ext cx="17621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&gt;  Bem</a:t>
          </a:r>
          <a:r>
            <a:rPr lang="pt-BR" sz="1200" b="1" baseline="0"/>
            <a:t> Vindo (a)!!!</a:t>
          </a:r>
          <a:endParaRPr lang="pt-BR" sz="1200" b="1"/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6</xdr:col>
      <xdr:colOff>152400</xdr:colOff>
      <xdr:row>4</xdr:row>
      <xdr:rowOff>133350</xdr:rowOff>
    </xdr:to>
    <xdr:sp macro="" textlink="">
      <xdr:nvSpPr>
        <xdr:cNvPr id="35" name="Retângulo 34"/>
        <xdr:cNvSpPr/>
      </xdr:nvSpPr>
      <xdr:spPr>
        <a:xfrm>
          <a:off x="3162300" y="762000"/>
          <a:ext cx="289560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</a:rPr>
            <a:t>Calculation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</a:rPr>
            <a:t> period: 01/01/2026 - 10/10/2026 21:13:00</a:t>
          </a:r>
          <a:endParaRPr lang="pt-BR" sz="9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nathas Nogueira" refreshedDate="46031.758152199072" createdVersion="6" refreshedVersion="6" minRefreshableVersion="3" recordCount="295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x v="0"/>
    <x v="0"/>
    <n v="15"/>
    <x v="0"/>
    <s v="Yes"/>
    <x v="0"/>
    <s v="Yes"/>
    <n v="20"/>
    <n v="5"/>
    <n v="60"/>
  </r>
  <r>
    <n v="3232"/>
    <x v="1"/>
    <x v="1"/>
    <x v="1"/>
    <x v="1"/>
    <n v="5"/>
    <x v="1"/>
    <s v="No"/>
    <x v="1"/>
    <s v="No"/>
    <n v="0"/>
    <n v="0"/>
    <n v="5"/>
  </r>
  <r>
    <n v="3233"/>
    <x v="2"/>
    <x v="2"/>
    <x v="2"/>
    <x v="0"/>
    <n v="10"/>
    <x v="2"/>
    <s v="No"/>
    <x v="1"/>
    <s v="Yes"/>
    <n v="20"/>
    <n v="10"/>
    <n v="20"/>
  </r>
  <r>
    <n v="3234"/>
    <x v="3"/>
    <x v="0"/>
    <x v="3"/>
    <x v="1"/>
    <n v="15"/>
    <x v="0"/>
    <s v="Yes"/>
    <x v="0"/>
    <s v="Yes"/>
    <n v="20"/>
    <n v="3"/>
    <n v="62"/>
  </r>
  <r>
    <n v="3235"/>
    <x v="4"/>
    <x v="1"/>
    <x v="4"/>
    <x v="0"/>
    <n v="5"/>
    <x v="0"/>
    <s v="No"/>
    <x v="1"/>
    <s v="No"/>
    <n v="0"/>
    <n v="1"/>
    <n v="4"/>
  </r>
  <r>
    <n v="3236"/>
    <x v="5"/>
    <x v="2"/>
    <x v="5"/>
    <x v="1"/>
    <n v="10"/>
    <x v="0"/>
    <s v="No"/>
    <x v="1"/>
    <s v="Yes"/>
    <n v="20"/>
    <n v="2"/>
    <n v="28"/>
  </r>
  <r>
    <n v="3237"/>
    <x v="6"/>
    <x v="0"/>
    <x v="6"/>
    <x v="0"/>
    <n v="15"/>
    <x v="2"/>
    <s v="Yes"/>
    <x v="0"/>
    <s v="Yes"/>
    <n v="20"/>
    <n v="10"/>
    <n v="55"/>
  </r>
  <r>
    <n v="3238"/>
    <x v="7"/>
    <x v="1"/>
    <x v="7"/>
    <x v="0"/>
    <n v="5"/>
    <x v="1"/>
    <s v="No"/>
    <x v="1"/>
    <s v="No"/>
    <n v="0"/>
    <n v="0"/>
    <n v="5"/>
  </r>
  <r>
    <n v="3239"/>
    <x v="8"/>
    <x v="0"/>
    <x v="4"/>
    <x v="1"/>
    <n v="15"/>
    <x v="0"/>
    <s v="Yes"/>
    <x v="0"/>
    <s v="Yes"/>
    <n v="20"/>
    <n v="5"/>
    <n v="60"/>
  </r>
  <r>
    <n v="3240"/>
    <x v="9"/>
    <x v="2"/>
    <x v="8"/>
    <x v="0"/>
    <n v="10"/>
    <x v="2"/>
    <s v="No"/>
    <x v="1"/>
    <s v="Yes"/>
    <n v="20"/>
    <n v="15"/>
    <n v="15"/>
  </r>
  <r>
    <n v="3241"/>
    <x v="10"/>
    <x v="1"/>
    <x v="9"/>
    <x v="1"/>
    <n v="5"/>
    <x v="0"/>
    <s v="No"/>
    <x v="1"/>
    <s v="No"/>
    <n v="0"/>
    <n v="1"/>
    <n v="4"/>
  </r>
  <r>
    <n v="3242"/>
    <x v="11"/>
    <x v="0"/>
    <x v="10"/>
    <x v="0"/>
    <n v="15"/>
    <x v="1"/>
    <s v="Yes"/>
    <x v="0"/>
    <s v="Yes"/>
    <n v="20"/>
    <n v="20"/>
    <n v="45"/>
  </r>
  <r>
    <n v="3243"/>
    <x v="12"/>
    <x v="2"/>
    <x v="11"/>
    <x v="1"/>
    <n v="10"/>
    <x v="0"/>
    <s v="No"/>
    <x v="1"/>
    <s v="Yes"/>
    <n v="20"/>
    <n v="10"/>
    <n v="20"/>
  </r>
  <r>
    <n v="3244"/>
    <x v="13"/>
    <x v="1"/>
    <x v="12"/>
    <x v="0"/>
    <n v="5"/>
    <x v="2"/>
    <s v="No"/>
    <x v="1"/>
    <s v="No"/>
    <n v="0"/>
    <n v="0"/>
    <n v="5"/>
  </r>
  <r>
    <n v="3245"/>
    <x v="14"/>
    <x v="0"/>
    <x v="13"/>
    <x v="1"/>
    <n v="15"/>
    <x v="0"/>
    <s v="Yes"/>
    <x v="0"/>
    <s v="Yes"/>
    <n v="20"/>
    <n v="8"/>
    <n v="57"/>
  </r>
  <r>
    <n v="3246"/>
    <x v="15"/>
    <x v="2"/>
    <x v="14"/>
    <x v="0"/>
    <n v="10"/>
    <x v="1"/>
    <s v="No"/>
    <x v="1"/>
    <s v="Yes"/>
    <n v="20"/>
    <n v="12"/>
    <n v="18"/>
  </r>
  <r>
    <n v="3247"/>
    <x v="16"/>
    <x v="1"/>
    <x v="15"/>
    <x v="1"/>
    <n v="5"/>
    <x v="0"/>
    <s v="No"/>
    <x v="1"/>
    <s v="No"/>
    <n v="0"/>
    <n v="2"/>
    <n v="3"/>
  </r>
  <r>
    <n v="3248"/>
    <x v="17"/>
    <x v="0"/>
    <x v="16"/>
    <x v="0"/>
    <n v="15"/>
    <x v="2"/>
    <s v="Yes"/>
    <x v="0"/>
    <s v="Yes"/>
    <n v="20"/>
    <n v="7"/>
    <n v="58"/>
  </r>
  <r>
    <n v="3249"/>
    <x v="18"/>
    <x v="2"/>
    <x v="17"/>
    <x v="1"/>
    <n v="10"/>
    <x v="0"/>
    <s v="No"/>
    <x v="1"/>
    <s v="Yes"/>
    <n v="20"/>
    <n v="5"/>
    <n v="25"/>
  </r>
  <r>
    <n v="3250"/>
    <x v="19"/>
    <x v="1"/>
    <x v="18"/>
    <x v="0"/>
    <n v="5"/>
    <x v="1"/>
    <s v="No"/>
    <x v="1"/>
    <s v="No"/>
    <n v="0"/>
    <n v="0"/>
    <n v="5"/>
  </r>
  <r>
    <n v="3251"/>
    <x v="20"/>
    <x v="0"/>
    <x v="19"/>
    <x v="1"/>
    <n v="15"/>
    <x v="0"/>
    <s v="Yes"/>
    <x v="0"/>
    <s v="Yes"/>
    <n v="20"/>
    <n v="3"/>
    <n v="62"/>
  </r>
  <r>
    <n v="3252"/>
    <x v="21"/>
    <x v="2"/>
    <x v="20"/>
    <x v="0"/>
    <n v="10"/>
    <x v="2"/>
    <s v="No"/>
    <x v="1"/>
    <s v="Yes"/>
    <n v="20"/>
    <n v="15"/>
    <n v="15"/>
  </r>
  <r>
    <n v="3253"/>
    <x v="22"/>
    <x v="1"/>
    <x v="21"/>
    <x v="1"/>
    <n v="5"/>
    <x v="0"/>
    <s v="No"/>
    <x v="1"/>
    <s v="No"/>
    <n v="0"/>
    <n v="1"/>
    <n v="4"/>
  </r>
  <r>
    <n v="3254"/>
    <x v="23"/>
    <x v="0"/>
    <x v="22"/>
    <x v="0"/>
    <n v="15"/>
    <x v="1"/>
    <s v="Yes"/>
    <x v="0"/>
    <s v="Yes"/>
    <n v="20"/>
    <n v="20"/>
    <n v="45"/>
  </r>
  <r>
    <n v="3255"/>
    <x v="24"/>
    <x v="2"/>
    <x v="23"/>
    <x v="1"/>
    <n v="10"/>
    <x v="0"/>
    <s v="No"/>
    <x v="1"/>
    <s v="Yes"/>
    <n v="20"/>
    <n v="10"/>
    <n v="20"/>
  </r>
  <r>
    <n v="3256"/>
    <x v="25"/>
    <x v="1"/>
    <x v="24"/>
    <x v="0"/>
    <n v="5"/>
    <x v="2"/>
    <s v="No"/>
    <x v="1"/>
    <s v="No"/>
    <n v="0"/>
    <n v="0"/>
    <n v="5"/>
  </r>
  <r>
    <n v="3257"/>
    <x v="26"/>
    <x v="0"/>
    <x v="25"/>
    <x v="1"/>
    <n v="15"/>
    <x v="0"/>
    <s v="Yes"/>
    <x v="0"/>
    <s v="Yes"/>
    <n v="20"/>
    <n v="5"/>
    <n v="60"/>
  </r>
  <r>
    <n v="3258"/>
    <x v="27"/>
    <x v="2"/>
    <x v="26"/>
    <x v="0"/>
    <n v="10"/>
    <x v="1"/>
    <s v="No"/>
    <x v="1"/>
    <s v="Yes"/>
    <n v="20"/>
    <n v="15"/>
    <n v="15"/>
  </r>
  <r>
    <n v="3259"/>
    <x v="28"/>
    <x v="1"/>
    <x v="27"/>
    <x v="1"/>
    <n v="5"/>
    <x v="0"/>
    <s v="No"/>
    <x v="1"/>
    <s v="No"/>
    <n v="0"/>
    <n v="1"/>
    <n v="4"/>
  </r>
  <r>
    <n v="3260"/>
    <x v="29"/>
    <x v="0"/>
    <x v="28"/>
    <x v="0"/>
    <n v="15"/>
    <x v="2"/>
    <s v="Yes"/>
    <x v="0"/>
    <s v="Yes"/>
    <n v="20"/>
    <n v="7"/>
    <n v="58"/>
  </r>
  <r>
    <n v="3261"/>
    <x v="30"/>
    <x v="2"/>
    <x v="29"/>
    <x v="1"/>
    <n v="10"/>
    <x v="0"/>
    <s v="No"/>
    <x v="1"/>
    <s v="Yes"/>
    <n v="20"/>
    <n v="10"/>
    <n v="20"/>
  </r>
  <r>
    <n v="3262"/>
    <x v="31"/>
    <x v="1"/>
    <x v="30"/>
    <x v="0"/>
    <n v="5"/>
    <x v="1"/>
    <s v="No"/>
    <x v="1"/>
    <s v="No"/>
    <n v="0"/>
    <n v="0"/>
    <n v="5"/>
  </r>
  <r>
    <n v="3263"/>
    <x v="32"/>
    <x v="0"/>
    <x v="31"/>
    <x v="1"/>
    <n v="15"/>
    <x v="0"/>
    <s v="Yes"/>
    <x v="0"/>
    <s v="Yes"/>
    <n v="20"/>
    <n v="3"/>
    <n v="62"/>
  </r>
  <r>
    <n v="3264"/>
    <x v="33"/>
    <x v="2"/>
    <x v="32"/>
    <x v="0"/>
    <n v="10"/>
    <x v="2"/>
    <s v="No"/>
    <x v="1"/>
    <s v="Yes"/>
    <n v="20"/>
    <n v="15"/>
    <n v="15"/>
  </r>
  <r>
    <n v="3265"/>
    <x v="34"/>
    <x v="1"/>
    <x v="33"/>
    <x v="1"/>
    <n v="5"/>
    <x v="0"/>
    <s v="No"/>
    <x v="1"/>
    <s v="No"/>
    <n v="0"/>
    <n v="1"/>
    <n v="4"/>
  </r>
  <r>
    <n v="3266"/>
    <x v="35"/>
    <x v="1"/>
    <x v="34"/>
    <x v="0"/>
    <n v="5"/>
    <x v="0"/>
    <s v="No"/>
    <x v="1"/>
    <s v="No"/>
    <n v="0"/>
    <n v="0"/>
    <n v="5"/>
  </r>
  <r>
    <n v="3267"/>
    <x v="36"/>
    <x v="0"/>
    <x v="35"/>
    <x v="1"/>
    <n v="15"/>
    <x v="2"/>
    <s v="Yes"/>
    <x v="0"/>
    <s v="Yes"/>
    <n v="20"/>
    <n v="7"/>
    <n v="58"/>
  </r>
  <r>
    <n v="3268"/>
    <x v="37"/>
    <x v="2"/>
    <x v="36"/>
    <x v="0"/>
    <n v="10"/>
    <x v="1"/>
    <s v="No"/>
    <x v="1"/>
    <s v="Yes"/>
    <n v="20"/>
    <n v="10"/>
    <n v="20"/>
  </r>
  <r>
    <n v="3269"/>
    <x v="38"/>
    <x v="1"/>
    <x v="37"/>
    <x v="1"/>
    <n v="5"/>
    <x v="2"/>
    <s v="No"/>
    <x v="1"/>
    <s v="No"/>
    <n v="0"/>
    <n v="1"/>
    <n v="4"/>
  </r>
  <r>
    <n v="3270"/>
    <x v="39"/>
    <x v="0"/>
    <x v="38"/>
    <x v="0"/>
    <n v="15"/>
    <x v="0"/>
    <s v="Yes"/>
    <x v="0"/>
    <s v="Yes"/>
    <n v="20"/>
    <n v="15"/>
    <n v="50"/>
  </r>
  <r>
    <n v="3271"/>
    <x v="40"/>
    <x v="2"/>
    <x v="39"/>
    <x v="1"/>
    <n v="10"/>
    <x v="0"/>
    <s v="No"/>
    <x v="1"/>
    <s v="Yes"/>
    <n v="20"/>
    <n v="5"/>
    <n v="25"/>
  </r>
  <r>
    <n v="3272"/>
    <x v="41"/>
    <x v="1"/>
    <x v="40"/>
    <x v="0"/>
    <n v="5"/>
    <x v="1"/>
    <s v="No"/>
    <x v="1"/>
    <s v="No"/>
    <n v="0"/>
    <n v="0"/>
    <n v="5"/>
  </r>
  <r>
    <n v="3273"/>
    <x v="42"/>
    <x v="0"/>
    <x v="41"/>
    <x v="1"/>
    <n v="15"/>
    <x v="2"/>
    <s v="Yes"/>
    <x v="0"/>
    <s v="Yes"/>
    <n v="20"/>
    <n v="20"/>
    <n v="45"/>
  </r>
  <r>
    <n v="3274"/>
    <x v="43"/>
    <x v="2"/>
    <x v="42"/>
    <x v="0"/>
    <n v="10"/>
    <x v="2"/>
    <s v="No"/>
    <x v="1"/>
    <s v="Yes"/>
    <n v="20"/>
    <n v="12"/>
    <n v="18"/>
  </r>
  <r>
    <n v="3275"/>
    <x v="44"/>
    <x v="1"/>
    <x v="43"/>
    <x v="1"/>
    <n v="5"/>
    <x v="0"/>
    <s v="No"/>
    <x v="1"/>
    <s v="No"/>
    <n v="0"/>
    <n v="2"/>
    <n v="3"/>
  </r>
  <r>
    <n v="3276"/>
    <x v="45"/>
    <x v="0"/>
    <x v="44"/>
    <x v="0"/>
    <n v="15"/>
    <x v="1"/>
    <s v="Yes"/>
    <x v="0"/>
    <s v="Yes"/>
    <n v="20"/>
    <n v="5"/>
    <n v="60"/>
  </r>
  <r>
    <n v="3277"/>
    <x v="46"/>
    <x v="2"/>
    <x v="45"/>
    <x v="1"/>
    <n v="10"/>
    <x v="0"/>
    <s v="No"/>
    <x v="1"/>
    <s v="Yes"/>
    <n v="20"/>
    <n v="10"/>
    <n v="20"/>
  </r>
  <r>
    <n v="3278"/>
    <x v="47"/>
    <x v="1"/>
    <x v="46"/>
    <x v="0"/>
    <n v="5"/>
    <x v="2"/>
    <s v="No"/>
    <x v="1"/>
    <s v="No"/>
    <n v="0"/>
    <n v="0"/>
    <n v="5"/>
  </r>
  <r>
    <n v="3279"/>
    <x v="48"/>
    <x v="0"/>
    <x v="47"/>
    <x v="1"/>
    <n v="15"/>
    <x v="0"/>
    <s v="Yes"/>
    <x v="0"/>
    <s v="Yes"/>
    <n v="20"/>
    <n v="3"/>
    <n v="62"/>
  </r>
  <r>
    <n v="3280"/>
    <x v="49"/>
    <x v="2"/>
    <x v="48"/>
    <x v="0"/>
    <n v="10"/>
    <x v="1"/>
    <s v="No"/>
    <x v="1"/>
    <s v="Yes"/>
    <n v="20"/>
    <n v="15"/>
    <n v="15"/>
  </r>
  <r>
    <n v="3281"/>
    <x v="50"/>
    <x v="1"/>
    <x v="49"/>
    <x v="1"/>
    <n v="5"/>
    <x v="0"/>
    <s v="No"/>
    <x v="1"/>
    <s v="No"/>
    <n v="0"/>
    <n v="1"/>
    <n v="4"/>
  </r>
  <r>
    <n v="3282"/>
    <x v="51"/>
    <x v="0"/>
    <x v="50"/>
    <x v="0"/>
    <n v="15"/>
    <x v="2"/>
    <s v="Yes"/>
    <x v="0"/>
    <s v="Yes"/>
    <n v="20"/>
    <n v="7"/>
    <n v="58"/>
  </r>
  <r>
    <n v="3283"/>
    <x v="52"/>
    <x v="2"/>
    <x v="51"/>
    <x v="1"/>
    <n v="10"/>
    <x v="0"/>
    <s v="No"/>
    <x v="1"/>
    <s v="Yes"/>
    <n v="20"/>
    <n v="10"/>
    <n v="20"/>
  </r>
  <r>
    <n v="3284"/>
    <x v="53"/>
    <x v="1"/>
    <x v="52"/>
    <x v="0"/>
    <n v="5"/>
    <x v="1"/>
    <s v="No"/>
    <x v="1"/>
    <s v="No"/>
    <n v="0"/>
    <n v="0"/>
    <n v="5"/>
  </r>
  <r>
    <n v="3285"/>
    <x v="54"/>
    <x v="0"/>
    <x v="53"/>
    <x v="1"/>
    <n v="15"/>
    <x v="0"/>
    <s v="Yes"/>
    <x v="0"/>
    <s v="Yes"/>
    <n v="20"/>
    <n v="20"/>
    <n v="45"/>
  </r>
  <r>
    <n v="3286"/>
    <x v="55"/>
    <x v="2"/>
    <x v="54"/>
    <x v="0"/>
    <n v="10"/>
    <x v="2"/>
    <s v="No"/>
    <x v="1"/>
    <s v="Yes"/>
    <n v="20"/>
    <n v="15"/>
    <n v="15"/>
  </r>
  <r>
    <n v="3287"/>
    <x v="56"/>
    <x v="1"/>
    <x v="55"/>
    <x v="1"/>
    <n v="5"/>
    <x v="0"/>
    <s v="No"/>
    <x v="1"/>
    <s v="No"/>
    <n v="0"/>
    <n v="1"/>
    <n v="4"/>
  </r>
  <r>
    <n v="3288"/>
    <x v="57"/>
    <x v="0"/>
    <x v="56"/>
    <x v="0"/>
    <n v="15"/>
    <x v="1"/>
    <s v="Yes"/>
    <x v="0"/>
    <s v="Yes"/>
    <n v="20"/>
    <n v="3"/>
    <n v="62"/>
  </r>
  <r>
    <n v="3289"/>
    <x v="58"/>
    <x v="2"/>
    <x v="57"/>
    <x v="1"/>
    <n v="10"/>
    <x v="0"/>
    <s v="No"/>
    <x v="1"/>
    <s v="Yes"/>
    <n v="20"/>
    <n v="10"/>
    <n v="20"/>
  </r>
  <r>
    <n v="3290"/>
    <x v="59"/>
    <x v="1"/>
    <x v="58"/>
    <x v="0"/>
    <n v="5"/>
    <x v="2"/>
    <s v="No"/>
    <x v="1"/>
    <s v="No"/>
    <n v="0"/>
    <n v="0"/>
    <n v="5"/>
  </r>
  <r>
    <n v="3291"/>
    <x v="60"/>
    <x v="0"/>
    <x v="59"/>
    <x v="1"/>
    <n v="15"/>
    <x v="0"/>
    <s v="Yes"/>
    <x v="0"/>
    <s v="Yes"/>
    <n v="20"/>
    <n v="5"/>
    <n v="60"/>
  </r>
  <r>
    <n v="3292"/>
    <x v="61"/>
    <x v="2"/>
    <x v="60"/>
    <x v="0"/>
    <n v="10"/>
    <x v="1"/>
    <s v="No"/>
    <x v="1"/>
    <s v="Yes"/>
    <n v="20"/>
    <n v="15"/>
    <n v="15"/>
  </r>
  <r>
    <n v="3293"/>
    <x v="62"/>
    <x v="1"/>
    <x v="61"/>
    <x v="1"/>
    <n v="5"/>
    <x v="0"/>
    <s v="No"/>
    <x v="1"/>
    <s v="No"/>
    <n v="0"/>
    <n v="1"/>
    <n v="4"/>
  </r>
  <r>
    <n v="3294"/>
    <x v="63"/>
    <x v="0"/>
    <x v="62"/>
    <x v="0"/>
    <n v="15"/>
    <x v="2"/>
    <s v="Yes"/>
    <x v="0"/>
    <s v="Yes"/>
    <n v="20"/>
    <n v="20"/>
    <n v="45"/>
  </r>
  <r>
    <n v="3295"/>
    <x v="64"/>
    <x v="2"/>
    <x v="63"/>
    <x v="1"/>
    <n v="10"/>
    <x v="0"/>
    <s v="No"/>
    <x v="1"/>
    <s v="Yes"/>
    <n v="20"/>
    <n v="5"/>
    <n v="25"/>
  </r>
  <r>
    <n v="3296"/>
    <x v="65"/>
    <x v="1"/>
    <x v="64"/>
    <x v="1"/>
    <n v="5"/>
    <x v="0"/>
    <s v="No"/>
    <x v="1"/>
    <s v="No"/>
    <n v="0"/>
    <n v="0"/>
    <n v="5"/>
  </r>
  <r>
    <n v="3297"/>
    <x v="66"/>
    <x v="0"/>
    <x v="65"/>
    <x v="0"/>
    <n v="15"/>
    <x v="2"/>
    <s v="Yes"/>
    <x v="0"/>
    <s v="Yes"/>
    <n v="20"/>
    <n v="7"/>
    <n v="58"/>
  </r>
  <r>
    <n v="3298"/>
    <x v="67"/>
    <x v="2"/>
    <x v="66"/>
    <x v="1"/>
    <n v="10"/>
    <x v="1"/>
    <s v="No"/>
    <x v="1"/>
    <s v="Yes"/>
    <n v="20"/>
    <n v="10"/>
    <n v="20"/>
  </r>
  <r>
    <n v="3299"/>
    <x v="68"/>
    <x v="1"/>
    <x v="67"/>
    <x v="0"/>
    <n v="5"/>
    <x v="2"/>
    <s v="No"/>
    <x v="1"/>
    <s v="No"/>
    <n v="0"/>
    <n v="1"/>
    <n v="4"/>
  </r>
  <r>
    <n v="3300"/>
    <x v="69"/>
    <x v="0"/>
    <x v="68"/>
    <x v="1"/>
    <n v="15"/>
    <x v="0"/>
    <s v="Yes"/>
    <x v="0"/>
    <s v="Yes"/>
    <n v="20"/>
    <n v="15"/>
    <n v="50"/>
  </r>
  <r>
    <n v="3301"/>
    <x v="70"/>
    <x v="2"/>
    <x v="69"/>
    <x v="0"/>
    <n v="10"/>
    <x v="0"/>
    <s v="No"/>
    <x v="1"/>
    <s v="Yes"/>
    <n v="20"/>
    <n v="5"/>
    <n v="25"/>
  </r>
  <r>
    <n v="3302"/>
    <x v="71"/>
    <x v="1"/>
    <x v="70"/>
    <x v="1"/>
    <n v="5"/>
    <x v="1"/>
    <s v="No"/>
    <x v="1"/>
    <s v="No"/>
    <n v="0"/>
    <n v="0"/>
    <n v="5"/>
  </r>
  <r>
    <n v="3303"/>
    <x v="72"/>
    <x v="0"/>
    <x v="71"/>
    <x v="0"/>
    <n v="15"/>
    <x v="2"/>
    <s v="Yes"/>
    <x v="0"/>
    <s v="Yes"/>
    <n v="20"/>
    <n v="20"/>
    <n v="45"/>
  </r>
  <r>
    <n v="3304"/>
    <x v="73"/>
    <x v="2"/>
    <x v="72"/>
    <x v="1"/>
    <n v="10"/>
    <x v="2"/>
    <s v="No"/>
    <x v="1"/>
    <s v="Yes"/>
    <n v="20"/>
    <n v="12"/>
    <n v="18"/>
  </r>
  <r>
    <n v="3305"/>
    <x v="74"/>
    <x v="1"/>
    <x v="73"/>
    <x v="0"/>
    <n v="5"/>
    <x v="0"/>
    <s v="No"/>
    <x v="1"/>
    <s v="No"/>
    <n v="0"/>
    <n v="2"/>
    <n v="3"/>
  </r>
  <r>
    <n v="3306"/>
    <x v="75"/>
    <x v="0"/>
    <x v="74"/>
    <x v="1"/>
    <n v="15"/>
    <x v="1"/>
    <s v="Yes"/>
    <x v="0"/>
    <s v="Yes"/>
    <n v="20"/>
    <n v="5"/>
    <n v="60"/>
  </r>
  <r>
    <n v="3307"/>
    <x v="76"/>
    <x v="2"/>
    <x v="75"/>
    <x v="0"/>
    <n v="10"/>
    <x v="0"/>
    <s v="No"/>
    <x v="1"/>
    <s v="Yes"/>
    <n v="20"/>
    <n v="10"/>
    <n v="20"/>
  </r>
  <r>
    <n v="3308"/>
    <x v="77"/>
    <x v="1"/>
    <x v="76"/>
    <x v="1"/>
    <n v="5"/>
    <x v="2"/>
    <s v="No"/>
    <x v="1"/>
    <s v="No"/>
    <n v="0"/>
    <n v="0"/>
    <n v="5"/>
  </r>
  <r>
    <n v="3309"/>
    <x v="78"/>
    <x v="0"/>
    <x v="77"/>
    <x v="0"/>
    <n v="15"/>
    <x v="0"/>
    <s v="Yes"/>
    <x v="0"/>
    <s v="Yes"/>
    <n v="20"/>
    <n v="3"/>
    <n v="62"/>
  </r>
  <r>
    <n v="3310"/>
    <x v="79"/>
    <x v="2"/>
    <x v="78"/>
    <x v="1"/>
    <n v="10"/>
    <x v="1"/>
    <s v="No"/>
    <x v="1"/>
    <s v="Yes"/>
    <n v="20"/>
    <n v="15"/>
    <n v="15"/>
  </r>
  <r>
    <n v="3311"/>
    <x v="80"/>
    <x v="1"/>
    <x v="79"/>
    <x v="0"/>
    <n v="5"/>
    <x v="0"/>
    <s v="No"/>
    <x v="1"/>
    <s v="No"/>
    <n v="0"/>
    <n v="1"/>
    <n v="4"/>
  </r>
  <r>
    <n v="3312"/>
    <x v="81"/>
    <x v="0"/>
    <x v="80"/>
    <x v="1"/>
    <n v="15"/>
    <x v="2"/>
    <s v="Yes"/>
    <x v="0"/>
    <s v="Yes"/>
    <n v="20"/>
    <n v="7"/>
    <n v="58"/>
  </r>
  <r>
    <n v="3313"/>
    <x v="82"/>
    <x v="2"/>
    <x v="81"/>
    <x v="0"/>
    <n v="10"/>
    <x v="0"/>
    <s v="No"/>
    <x v="1"/>
    <s v="Yes"/>
    <n v="20"/>
    <n v="10"/>
    <n v="20"/>
  </r>
  <r>
    <n v="3314"/>
    <x v="83"/>
    <x v="1"/>
    <x v="82"/>
    <x v="1"/>
    <n v="5"/>
    <x v="1"/>
    <s v="No"/>
    <x v="1"/>
    <s v="No"/>
    <n v="0"/>
    <n v="0"/>
    <n v="5"/>
  </r>
  <r>
    <n v="3315"/>
    <x v="84"/>
    <x v="0"/>
    <x v="83"/>
    <x v="0"/>
    <n v="15"/>
    <x v="0"/>
    <s v="Yes"/>
    <x v="0"/>
    <s v="Yes"/>
    <n v="20"/>
    <n v="20"/>
    <n v="45"/>
  </r>
  <r>
    <n v="3316"/>
    <x v="85"/>
    <x v="2"/>
    <x v="84"/>
    <x v="1"/>
    <n v="10"/>
    <x v="2"/>
    <s v="No"/>
    <x v="1"/>
    <s v="Yes"/>
    <n v="20"/>
    <n v="15"/>
    <n v="15"/>
  </r>
  <r>
    <n v="3317"/>
    <x v="86"/>
    <x v="1"/>
    <x v="85"/>
    <x v="0"/>
    <n v="5"/>
    <x v="0"/>
    <s v="No"/>
    <x v="1"/>
    <s v="No"/>
    <n v="0"/>
    <n v="1"/>
    <n v="4"/>
  </r>
  <r>
    <n v="3318"/>
    <x v="87"/>
    <x v="0"/>
    <x v="86"/>
    <x v="1"/>
    <n v="15"/>
    <x v="1"/>
    <s v="Yes"/>
    <x v="0"/>
    <s v="Yes"/>
    <n v="20"/>
    <n v="3"/>
    <n v="62"/>
  </r>
  <r>
    <n v="3319"/>
    <x v="88"/>
    <x v="2"/>
    <x v="87"/>
    <x v="0"/>
    <n v="10"/>
    <x v="0"/>
    <s v="No"/>
    <x v="1"/>
    <s v="Yes"/>
    <n v="20"/>
    <n v="10"/>
    <n v="20"/>
  </r>
  <r>
    <n v="3320"/>
    <x v="89"/>
    <x v="1"/>
    <x v="88"/>
    <x v="1"/>
    <n v="5"/>
    <x v="2"/>
    <s v="No"/>
    <x v="1"/>
    <s v="No"/>
    <n v="0"/>
    <n v="0"/>
    <n v="5"/>
  </r>
  <r>
    <n v="3321"/>
    <x v="90"/>
    <x v="0"/>
    <x v="89"/>
    <x v="0"/>
    <n v="15"/>
    <x v="0"/>
    <s v="Yes"/>
    <x v="0"/>
    <s v="Yes"/>
    <n v="20"/>
    <n v="5"/>
    <n v="60"/>
  </r>
  <r>
    <n v="3322"/>
    <x v="91"/>
    <x v="2"/>
    <x v="90"/>
    <x v="1"/>
    <n v="10"/>
    <x v="1"/>
    <s v="No"/>
    <x v="1"/>
    <s v="Yes"/>
    <n v="20"/>
    <n v="15"/>
    <n v="15"/>
  </r>
  <r>
    <n v="3323"/>
    <x v="92"/>
    <x v="1"/>
    <x v="91"/>
    <x v="0"/>
    <n v="5"/>
    <x v="0"/>
    <s v="No"/>
    <x v="1"/>
    <s v="No"/>
    <n v="0"/>
    <n v="1"/>
    <n v="4"/>
  </r>
  <r>
    <n v="3324"/>
    <x v="93"/>
    <x v="0"/>
    <x v="92"/>
    <x v="1"/>
    <n v="15"/>
    <x v="2"/>
    <s v="Yes"/>
    <x v="0"/>
    <s v="Yes"/>
    <n v="20"/>
    <n v="20"/>
    <n v="45"/>
  </r>
  <r>
    <n v="3325"/>
    <x v="94"/>
    <x v="2"/>
    <x v="93"/>
    <x v="0"/>
    <n v="10"/>
    <x v="2"/>
    <s v="No"/>
    <x v="1"/>
    <s v="Yes"/>
    <n v="20"/>
    <n v="15"/>
    <n v="15"/>
  </r>
  <r>
    <n v="3326"/>
    <x v="95"/>
    <x v="1"/>
    <x v="94"/>
    <x v="1"/>
    <n v="5"/>
    <x v="1"/>
    <s v="No"/>
    <x v="1"/>
    <s v="No"/>
    <n v="0"/>
    <n v="0"/>
    <n v="5"/>
  </r>
  <r>
    <n v="3327"/>
    <x v="96"/>
    <x v="0"/>
    <x v="95"/>
    <x v="0"/>
    <n v="15"/>
    <x v="0"/>
    <s v="Yes"/>
    <x v="0"/>
    <s v="Yes"/>
    <n v="20"/>
    <n v="7"/>
    <n v="58"/>
  </r>
  <r>
    <n v="3328"/>
    <x v="97"/>
    <x v="2"/>
    <x v="96"/>
    <x v="1"/>
    <n v="10"/>
    <x v="1"/>
    <s v="No"/>
    <x v="1"/>
    <s v="Yes"/>
    <n v="20"/>
    <n v="10"/>
    <n v="20"/>
  </r>
  <r>
    <n v="3329"/>
    <x v="98"/>
    <x v="1"/>
    <x v="97"/>
    <x v="0"/>
    <n v="5"/>
    <x v="2"/>
    <s v="No"/>
    <x v="1"/>
    <s v="No"/>
    <n v="0"/>
    <n v="1"/>
    <n v="4"/>
  </r>
  <r>
    <n v="3330"/>
    <x v="99"/>
    <x v="0"/>
    <x v="98"/>
    <x v="1"/>
    <n v="15"/>
    <x v="0"/>
    <s v="Yes"/>
    <x v="0"/>
    <s v="Yes"/>
    <n v="20"/>
    <n v="15"/>
    <n v="50"/>
  </r>
  <r>
    <n v="3331"/>
    <x v="100"/>
    <x v="2"/>
    <x v="99"/>
    <x v="0"/>
    <n v="10"/>
    <x v="0"/>
    <s v="No"/>
    <x v="1"/>
    <s v="Yes"/>
    <n v="20"/>
    <n v="5"/>
    <n v="25"/>
  </r>
  <r>
    <n v="3332"/>
    <x v="101"/>
    <x v="1"/>
    <x v="100"/>
    <x v="1"/>
    <n v="5"/>
    <x v="1"/>
    <s v="No"/>
    <x v="1"/>
    <s v="No"/>
    <n v="0"/>
    <n v="0"/>
    <n v="5"/>
  </r>
  <r>
    <n v="3333"/>
    <x v="102"/>
    <x v="0"/>
    <x v="101"/>
    <x v="0"/>
    <n v="15"/>
    <x v="2"/>
    <s v="Yes"/>
    <x v="0"/>
    <s v="Yes"/>
    <n v="20"/>
    <n v="20"/>
    <n v="45"/>
  </r>
  <r>
    <n v="3334"/>
    <x v="103"/>
    <x v="2"/>
    <x v="102"/>
    <x v="1"/>
    <n v="10"/>
    <x v="2"/>
    <s v="No"/>
    <x v="1"/>
    <s v="Yes"/>
    <n v="20"/>
    <n v="12"/>
    <n v="18"/>
  </r>
  <r>
    <n v="3335"/>
    <x v="104"/>
    <x v="1"/>
    <x v="103"/>
    <x v="0"/>
    <n v="5"/>
    <x v="0"/>
    <s v="No"/>
    <x v="1"/>
    <s v="No"/>
    <n v="0"/>
    <n v="2"/>
    <n v="3"/>
  </r>
  <r>
    <n v="3336"/>
    <x v="105"/>
    <x v="1"/>
    <x v="104"/>
    <x v="0"/>
    <n v="5"/>
    <x v="0"/>
    <s v="No"/>
    <x v="1"/>
    <s v="No"/>
    <n v="0"/>
    <n v="0"/>
    <n v="5"/>
  </r>
  <r>
    <n v="3337"/>
    <x v="106"/>
    <x v="0"/>
    <x v="105"/>
    <x v="1"/>
    <n v="15"/>
    <x v="2"/>
    <s v="Yes"/>
    <x v="0"/>
    <s v="Yes"/>
    <n v="20"/>
    <n v="7"/>
    <n v="58"/>
  </r>
  <r>
    <n v="3338"/>
    <x v="107"/>
    <x v="2"/>
    <x v="106"/>
    <x v="0"/>
    <n v="10"/>
    <x v="1"/>
    <s v="No"/>
    <x v="1"/>
    <s v="Yes"/>
    <n v="20"/>
    <n v="10"/>
    <n v="20"/>
  </r>
  <r>
    <n v="3339"/>
    <x v="108"/>
    <x v="1"/>
    <x v="107"/>
    <x v="1"/>
    <n v="5"/>
    <x v="2"/>
    <s v="No"/>
    <x v="1"/>
    <s v="No"/>
    <n v="0"/>
    <n v="1"/>
    <n v="4"/>
  </r>
  <r>
    <n v="3340"/>
    <x v="109"/>
    <x v="0"/>
    <x v="108"/>
    <x v="0"/>
    <n v="15"/>
    <x v="0"/>
    <s v="Yes"/>
    <x v="0"/>
    <s v="Yes"/>
    <n v="20"/>
    <n v="15"/>
    <n v="50"/>
  </r>
  <r>
    <n v="3341"/>
    <x v="110"/>
    <x v="2"/>
    <x v="109"/>
    <x v="1"/>
    <n v="10"/>
    <x v="0"/>
    <s v="No"/>
    <x v="1"/>
    <s v="Yes"/>
    <n v="20"/>
    <n v="5"/>
    <n v="25"/>
  </r>
  <r>
    <n v="3342"/>
    <x v="111"/>
    <x v="1"/>
    <x v="110"/>
    <x v="0"/>
    <n v="5"/>
    <x v="1"/>
    <s v="No"/>
    <x v="1"/>
    <s v="No"/>
    <n v="0"/>
    <n v="0"/>
    <n v="5"/>
  </r>
  <r>
    <n v="3343"/>
    <x v="112"/>
    <x v="0"/>
    <x v="111"/>
    <x v="1"/>
    <n v="15"/>
    <x v="2"/>
    <s v="Yes"/>
    <x v="0"/>
    <s v="Yes"/>
    <n v="20"/>
    <n v="20"/>
    <n v="45"/>
  </r>
  <r>
    <n v="3344"/>
    <x v="113"/>
    <x v="2"/>
    <x v="112"/>
    <x v="0"/>
    <n v="10"/>
    <x v="2"/>
    <s v="No"/>
    <x v="1"/>
    <s v="Yes"/>
    <n v="20"/>
    <n v="12"/>
    <n v="18"/>
  </r>
  <r>
    <n v="3345"/>
    <x v="114"/>
    <x v="1"/>
    <x v="113"/>
    <x v="1"/>
    <n v="5"/>
    <x v="0"/>
    <s v="No"/>
    <x v="1"/>
    <s v="No"/>
    <n v="0"/>
    <n v="2"/>
    <n v="3"/>
  </r>
  <r>
    <n v="3346"/>
    <x v="115"/>
    <x v="0"/>
    <x v="114"/>
    <x v="0"/>
    <n v="15"/>
    <x v="1"/>
    <s v="Yes"/>
    <x v="0"/>
    <s v="Yes"/>
    <n v="20"/>
    <n v="5"/>
    <n v="60"/>
  </r>
  <r>
    <n v="3347"/>
    <x v="116"/>
    <x v="2"/>
    <x v="115"/>
    <x v="1"/>
    <n v="10"/>
    <x v="0"/>
    <s v="No"/>
    <x v="1"/>
    <s v="Yes"/>
    <n v="20"/>
    <n v="10"/>
    <n v="20"/>
  </r>
  <r>
    <n v="3348"/>
    <x v="117"/>
    <x v="1"/>
    <x v="116"/>
    <x v="0"/>
    <n v="5"/>
    <x v="2"/>
    <s v="No"/>
    <x v="1"/>
    <s v="No"/>
    <n v="0"/>
    <n v="0"/>
    <n v="5"/>
  </r>
  <r>
    <n v="3349"/>
    <x v="93"/>
    <x v="0"/>
    <x v="117"/>
    <x v="1"/>
    <n v="15"/>
    <x v="0"/>
    <s v="Yes"/>
    <x v="0"/>
    <s v="Yes"/>
    <n v="20"/>
    <n v="3"/>
    <n v="62"/>
  </r>
  <r>
    <n v="3350"/>
    <x v="118"/>
    <x v="2"/>
    <x v="118"/>
    <x v="0"/>
    <n v="10"/>
    <x v="1"/>
    <s v="No"/>
    <x v="1"/>
    <s v="Yes"/>
    <n v="20"/>
    <n v="15"/>
    <n v="15"/>
  </r>
  <r>
    <n v="3351"/>
    <x v="119"/>
    <x v="1"/>
    <x v="119"/>
    <x v="1"/>
    <n v="5"/>
    <x v="0"/>
    <s v="No"/>
    <x v="1"/>
    <s v="No"/>
    <n v="0"/>
    <n v="1"/>
    <n v="4"/>
  </r>
  <r>
    <n v="3352"/>
    <x v="120"/>
    <x v="0"/>
    <x v="120"/>
    <x v="0"/>
    <n v="15"/>
    <x v="2"/>
    <s v="Yes"/>
    <x v="0"/>
    <s v="Yes"/>
    <n v="20"/>
    <n v="7"/>
    <n v="58"/>
  </r>
  <r>
    <n v="3353"/>
    <x v="121"/>
    <x v="2"/>
    <x v="121"/>
    <x v="1"/>
    <n v="10"/>
    <x v="0"/>
    <s v="No"/>
    <x v="1"/>
    <s v="Yes"/>
    <n v="20"/>
    <n v="10"/>
    <n v="20"/>
  </r>
  <r>
    <n v="3354"/>
    <x v="122"/>
    <x v="1"/>
    <x v="122"/>
    <x v="0"/>
    <n v="5"/>
    <x v="1"/>
    <s v="No"/>
    <x v="1"/>
    <s v="No"/>
    <n v="0"/>
    <n v="0"/>
    <n v="5"/>
  </r>
  <r>
    <n v="3355"/>
    <x v="123"/>
    <x v="0"/>
    <x v="123"/>
    <x v="1"/>
    <n v="15"/>
    <x v="0"/>
    <s v="Yes"/>
    <x v="0"/>
    <s v="Yes"/>
    <n v="20"/>
    <n v="20"/>
    <n v="45"/>
  </r>
  <r>
    <n v="3356"/>
    <x v="124"/>
    <x v="2"/>
    <x v="124"/>
    <x v="0"/>
    <n v="10"/>
    <x v="2"/>
    <s v="No"/>
    <x v="1"/>
    <s v="Yes"/>
    <n v="20"/>
    <n v="15"/>
    <n v="15"/>
  </r>
  <r>
    <n v="3357"/>
    <x v="125"/>
    <x v="1"/>
    <x v="125"/>
    <x v="1"/>
    <n v="5"/>
    <x v="0"/>
    <s v="No"/>
    <x v="1"/>
    <s v="No"/>
    <n v="0"/>
    <n v="1"/>
    <n v="4"/>
  </r>
  <r>
    <n v="3358"/>
    <x v="126"/>
    <x v="0"/>
    <x v="126"/>
    <x v="0"/>
    <n v="15"/>
    <x v="1"/>
    <s v="Yes"/>
    <x v="0"/>
    <s v="Yes"/>
    <n v="20"/>
    <n v="3"/>
    <n v="62"/>
  </r>
  <r>
    <n v="3359"/>
    <x v="127"/>
    <x v="2"/>
    <x v="127"/>
    <x v="1"/>
    <n v="10"/>
    <x v="0"/>
    <s v="No"/>
    <x v="1"/>
    <s v="Yes"/>
    <n v="20"/>
    <n v="10"/>
    <n v="20"/>
  </r>
  <r>
    <n v="3360"/>
    <x v="128"/>
    <x v="1"/>
    <x v="128"/>
    <x v="0"/>
    <n v="5"/>
    <x v="2"/>
    <s v="No"/>
    <x v="1"/>
    <s v="No"/>
    <n v="0"/>
    <n v="0"/>
    <n v="5"/>
  </r>
  <r>
    <n v="3361"/>
    <x v="129"/>
    <x v="0"/>
    <x v="129"/>
    <x v="1"/>
    <n v="15"/>
    <x v="0"/>
    <s v="Yes"/>
    <x v="0"/>
    <s v="Yes"/>
    <n v="20"/>
    <n v="15"/>
    <n v="50"/>
  </r>
  <r>
    <n v="3362"/>
    <x v="130"/>
    <x v="2"/>
    <x v="130"/>
    <x v="0"/>
    <n v="10"/>
    <x v="1"/>
    <s v="No"/>
    <x v="1"/>
    <s v="Yes"/>
    <n v="20"/>
    <n v="15"/>
    <n v="15"/>
  </r>
  <r>
    <n v="3363"/>
    <x v="131"/>
    <x v="1"/>
    <x v="131"/>
    <x v="1"/>
    <n v="5"/>
    <x v="0"/>
    <s v="No"/>
    <x v="1"/>
    <s v="No"/>
    <n v="0"/>
    <n v="1"/>
    <n v="4"/>
  </r>
  <r>
    <n v="3364"/>
    <x v="132"/>
    <x v="0"/>
    <x v="132"/>
    <x v="0"/>
    <n v="15"/>
    <x v="2"/>
    <s v="Yes"/>
    <x v="0"/>
    <s v="Yes"/>
    <n v="20"/>
    <n v="7"/>
    <n v="58"/>
  </r>
  <r>
    <n v="3365"/>
    <x v="133"/>
    <x v="2"/>
    <x v="133"/>
    <x v="1"/>
    <n v="10"/>
    <x v="0"/>
    <s v="No"/>
    <x v="1"/>
    <s v="Yes"/>
    <n v="20"/>
    <n v="10"/>
    <n v="20"/>
  </r>
  <r>
    <n v="3366"/>
    <x v="134"/>
    <x v="1"/>
    <x v="134"/>
    <x v="0"/>
    <n v="5"/>
    <x v="0"/>
    <s v="No"/>
    <x v="1"/>
    <s v="No"/>
    <n v="0"/>
    <n v="0"/>
    <n v="5"/>
  </r>
  <r>
    <n v="3367"/>
    <x v="135"/>
    <x v="0"/>
    <x v="135"/>
    <x v="1"/>
    <n v="15"/>
    <x v="2"/>
    <s v="Yes"/>
    <x v="0"/>
    <s v="Yes"/>
    <n v="20"/>
    <n v="7"/>
    <n v="58"/>
  </r>
  <r>
    <n v="3368"/>
    <x v="136"/>
    <x v="2"/>
    <x v="136"/>
    <x v="0"/>
    <n v="10"/>
    <x v="1"/>
    <s v="No"/>
    <x v="1"/>
    <s v="Yes"/>
    <n v="20"/>
    <n v="10"/>
    <n v="20"/>
  </r>
  <r>
    <n v="3369"/>
    <x v="137"/>
    <x v="1"/>
    <x v="137"/>
    <x v="1"/>
    <n v="5"/>
    <x v="2"/>
    <s v="No"/>
    <x v="1"/>
    <s v="No"/>
    <n v="0"/>
    <n v="1"/>
    <n v="4"/>
  </r>
  <r>
    <n v="3370"/>
    <x v="138"/>
    <x v="0"/>
    <x v="138"/>
    <x v="0"/>
    <n v="15"/>
    <x v="0"/>
    <s v="Yes"/>
    <x v="0"/>
    <s v="Yes"/>
    <n v="20"/>
    <n v="15"/>
    <n v="50"/>
  </r>
  <r>
    <n v="3371"/>
    <x v="139"/>
    <x v="2"/>
    <x v="139"/>
    <x v="1"/>
    <n v="10"/>
    <x v="0"/>
    <s v="No"/>
    <x v="1"/>
    <s v="Yes"/>
    <n v="20"/>
    <n v="5"/>
    <n v="25"/>
  </r>
  <r>
    <n v="3372"/>
    <x v="140"/>
    <x v="1"/>
    <x v="140"/>
    <x v="0"/>
    <n v="5"/>
    <x v="1"/>
    <s v="No"/>
    <x v="1"/>
    <s v="No"/>
    <n v="0"/>
    <n v="0"/>
    <n v="5"/>
  </r>
  <r>
    <n v="3373"/>
    <x v="141"/>
    <x v="0"/>
    <x v="141"/>
    <x v="1"/>
    <n v="15"/>
    <x v="2"/>
    <s v="Yes"/>
    <x v="0"/>
    <s v="Yes"/>
    <n v="20"/>
    <n v="20"/>
    <n v="45"/>
  </r>
  <r>
    <n v="3374"/>
    <x v="142"/>
    <x v="2"/>
    <x v="142"/>
    <x v="0"/>
    <n v="10"/>
    <x v="2"/>
    <s v="No"/>
    <x v="1"/>
    <s v="Yes"/>
    <n v="20"/>
    <n v="12"/>
    <n v="18"/>
  </r>
  <r>
    <n v="3375"/>
    <x v="143"/>
    <x v="1"/>
    <x v="143"/>
    <x v="1"/>
    <n v="5"/>
    <x v="0"/>
    <s v="No"/>
    <x v="1"/>
    <s v="No"/>
    <n v="0"/>
    <n v="2"/>
    <n v="3"/>
  </r>
  <r>
    <n v="3376"/>
    <x v="144"/>
    <x v="0"/>
    <x v="144"/>
    <x v="0"/>
    <n v="15"/>
    <x v="1"/>
    <s v="Yes"/>
    <x v="0"/>
    <s v="Yes"/>
    <n v="20"/>
    <n v="5"/>
    <n v="60"/>
  </r>
  <r>
    <n v="3377"/>
    <x v="145"/>
    <x v="2"/>
    <x v="145"/>
    <x v="1"/>
    <n v="10"/>
    <x v="0"/>
    <s v="No"/>
    <x v="1"/>
    <s v="Yes"/>
    <n v="20"/>
    <n v="10"/>
    <n v="20"/>
  </r>
  <r>
    <n v="3378"/>
    <x v="146"/>
    <x v="1"/>
    <x v="146"/>
    <x v="0"/>
    <n v="5"/>
    <x v="2"/>
    <s v="No"/>
    <x v="1"/>
    <s v="No"/>
    <n v="0"/>
    <n v="0"/>
    <n v="5"/>
  </r>
  <r>
    <n v="3379"/>
    <x v="147"/>
    <x v="0"/>
    <x v="147"/>
    <x v="1"/>
    <n v="15"/>
    <x v="0"/>
    <s v="Yes"/>
    <x v="0"/>
    <s v="Yes"/>
    <n v="20"/>
    <n v="3"/>
    <n v="62"/>
  </r>
  <r>
    <n v="3380"/>
    <x v="148"/>
    <x v="2"/>
    <x v="148"/>
    <x v="0"/>
    <n v="10"/>
    <x v="1"/>
    <s v="No"/>
    <x v="1"/>
    <s v="Yes"/>
    <n v="20"/>
    <n v="15"/>
    <n v="15"/>
  </r>
  <r>
    <n v="3381"/>
    <x v="149"/>
    <x v="1"/>
    <x v="149"/>
    <x v="1"/>
    <n v="5"/>
    <x v="0"/>
    <s v="No"/>
    <x v="1"/>
    <s v="No"/>
    <n v="0"/>
    <n v="1"/>
    <n v="4"/>
  </r>
  <r>
    <n v="3382"/>
    <x v="150"/>
    <x v="0"/>
    <x v="150"/>
    <x v="0"/>
    <n v="15"/>
    <x v="2"/>
    <s v="Yes"/>
    <x v="0"/>
    <s v="Yes"/>
    <n v="20"/>
    <n v="7"/>
    <n v="58"/>
  </r>
  <r>
    <n v="3383"/>
    <x v="151"/>
    <x v="2"/>
    <x v="151"/>
    <x v="1"/>
    <n v="10"/>
    <x v="0"/>
    <s v="No"/>
    <x v="1"/>
    <s v="Yes"/>
    <n v="20"/>
    <n v="10"/>
    <n v="20"/>
  </r>
  <r>
    <n v="3384"/>
    <x v="152"/>
    <x v="1"/>
    <x v="152"/>
    <x v="0"/>
    <n v="5"/>
    <x v="1"/>
    <s v="No"/>
    <x v="1"/>
    <s v="No"/>
    <n v="0"/>
    <n v="0"/>
    <n v="5"/>
  </r>
  <r>
    <n v="3385"/>
    <x v="153"/>
    <x v="0"/>
    <x v="153"/>
    <x v="1"/>
    <n v="15"/>
    <x v="0"/>
    <s v="Yes"/>
    <x v="0"/>
    <s v="Yes"/>
    <n v="20"/>
    <n v="20"/>
    <n v="45"/>
  </r>
  <r>
    <n v="3386"/>
    <x v="154"/>
    <x v="2"/>
    <x v="154"/>
    <x v="0"/>
    <n v="10"/>
    <x v="2"/>
    <s v="No"/>
    <x v="1"/>
    <s v="Yes"/>
    <n v="20"/>
    <n v="15"/>
    <n v="15"/>
  </r>
  <r>
    <n v="3387"/>
    <x v="155"/>
    <x v="1"/>
    <x v="155"/>
    <x v="1"/>
    <n v="5"/>
    <x v="0"/>
    <s v="No"/>
    <x v="1"/>
    <s v="No"/>
    <n v="0"/>
    <n v="1"/>
    <n v="4"/>
  </r>
  <r>
    <n v="3388"/>
    <x v="156"/>
    <x v="0"/>
    <x v="156"/>
    <x v="0"/>
    <n v="15"/>
    <x v="1"/>
    <s v="Yes"/>
    <x v="0"/>
    <s v="Yes"/>
    <n v="20"/>
    <n v="3"/>
    <n v="62"/>
  </r>
  <r>
    <n v="3389"/>
    <x v="157"/>
    <x v="2"/>
    <x v="157"/>
    <x v="1"/>
    <n v="10"/>
    <x v="0"/>
    <s v="No"/>
    <x v="1"/>
    <s v="Yes"/>
    <n v="20"/>
    <n v="10"/>
    <n v="20"/>
  </r>
  <r>
    <n v="3390"/>
    <x v="158"/>
    <x v="1"/>
    <x v="158"/>
    <x v="0"/>
    <n v="5"/>
    <x v="2"/>
    <s v="No"/>
    <x v="1"/>
    <s v="No"/>
    <n v="0"/>
    <n v="0"/>
    <n v="5"/>
  </r>
  <r>
    <n v="3391"/>
    <x v="58"/>
    <x v="0"/>
    <x v="159"/>
    <x v="1"/>
    <n v="15"/>
    <x v="0"/>
    <s v="Yes"/>
    <x v="0"/>
    <s v="Yes"/>
    <n v="20"/>
    <n v="15"/>
    <n v="50"/>
  </r>
  <r>
    <n v="3392"/>
    <x v="159"/>
    <x v="2"/>
    <x v="160"/>
    <x v="0"/>
    <n v="10"/>
    <x v="1"/>
    <s v="No"/>
    <x v="1"/>
    <s v="Yes"/>
    <n v="20"/>
    <n v="15"/>
    <n v="15"/>
  </r>
  <r>
    <n v="3393"/>
    <x v="160"/>
    <x v="1"/>
    <x v="161"/>
    <x v="1"/>
    <n v="5"/>
    <x v="0"/>
    <s v="No"/>
    <x v="1"/>
    <s v="No"/>
    <n v="0"/>
    <n v="1"/>
    <n v="4"/>
  </r>
  <r>
    <n v="3394"/>
    <x v="161"/>
    <x v="0"/>
    <x v="162"/>
    <x v="0"/>
    <n v="15"/>
    <x v="2"/>
    <s v="Yes"/>
    <x v="0"/>
    <s v="Yes"/>
    <n v="20"/>
    <n v="7"/>
    <n v="58"/>
  </r>
  <r>
    <n v="3395"/>
    <x v="162"/>
    <x v="2"/>
    <x v="163"/>
    <x v="1"/>
    <n v="10"/>
    <x v="0"/>
    <s v="No"/>
    <x v="1"/>
    <s v="Yes"/>
    <n v="20"/>
    <n v="10"/>
    <n v="20"/>
  </r>
  <r>
    <n v="3396"/>
    <x v="163"/>
    <x v="1"/>
    <x v="164"/>
    <x v="0"/>
    <n v="5"/>
    <x v="1"/>
    <s v="No"/>
    <x v="1"/>
    <s v="No"/>
    <n v="0"/>
    <n v="0"/>
    <n v="5"/>
  </r>
  <r>
    <n v="3397"/>
    <x v="90"/>
    <x v="0"/>
    <x v="165"/>
    <x v="1"/>
    <n v="15"/>
    <x v="0"/>
    <s v="Yes"/>
    <x v="0"/>
    <s v="Yes"/>
    <n v="20"/>
    <n v="20"/>
    <n v="45"/>
  </r>
  <r>
    <n v="3398"/>
    <x v="164"/>
    <x v="2"/>
    <x v="166"/>
    <x v="0"/>
    <n v="10"/>
    <x v="2"/>
    <s v="No"/>
    <x v="1"/>
    <s v="Yes"/>
    <n v="20"/>
    <n v="15"/>
    <n v="15"/>
  </r>
  <r>
    <n v="3399"/>
    <x v="165"/>
    <x v="1"/>
    <x v="167"/>
    <x v="1"/>
    <n v="5"/>
    <x v="0"/>
    <s v="No"/>
    <x v="1"/>
    <s v="No"/>
    <n v="0"/>
    <n v="1"/>
    <n v="4"/>
  </r>
  <r>
    <n v="3400"/>
    <x v="166"/>
    <x v="0"/>
    <x v="168"/>
    <x v="0"/>
    <n v="15"/>
    <x v="1"/>
    <s v="Yes"/>
    <x v="0"/>
    <s v="Yes"/>
    <n v="20"/>
    <n v="5"/>
    <n v="60"/>
  </r>
  <r>
    <n v="3401"/>
    <x v="167"/>
    <x v="2"/>
    <x v="169"/>
    <x v="1"/>
    <n v="10"/>
    <x v="0"/>
    <s v="No"/>
    <x v="1"/>
    <s v="Yes"/>
    <n v="20"/>
    <n v="10"/>
    <n v="20"/>
  </r>
  <r>
    <n v="3402"/>
    <x v="168"/>
    <x v="1"/>
    <x v="170"/>
    <x v="0"/>
    <n v="5"/>
    <x v="2"/>
    <s v="No"/>
    <x v="1"/>
    <s v="No"/>
    <n v="0"/>
    <n v="0"/>
    <n v="5"/>
  </r>
  <r>
    <n v="3403"/>
    <x v="169"/>
    <x v="0"/>
    <x v="171"/>
    <x v="1"/>
    <n v="15"/>
    <x v="0"/>
    <s v="Yes"/>
    <x v="0"/>
    <s v="Yes"/>
    <n v="20"/>
    <n v="3"/>
    <n v="62"/>
  </r>
  <r>
    <n v="3404"/>
    <x v="170"/>
    <x v="2"/>
    <x v="172"/>
    <x v="0"/>
    <n v="10"/>
    <x v="1"/>
    <s v="No"/>
    <x v="1"/>
    <s v="Yes"/>
    <n v="20"/>
    <n v="15"/>
    <n v="15"/>
  </r>
  <r>
    <n v="3405"/>
    <x v="171"/>
    <x v="1"/>
    <x v="173"/>
    <x v="1"/>
    <n v="5"/>
    <x v="0"/>
    <s v="No"/>
    <x v="1"/>
    <s v="No"/>
    <n v="0"/>
    <n v="1"/>
    <n v="4"/>
  </r>
  <r>
    <n v="3406"/>
    <x v="172"/>
    <x v="1"/>
    <x v="174"/>
    <x v="0"/>
    <n v="5"/>
    <x v="0"/>
    <s v="No"/>
    <x v="1"/>
    <s v="No"/>
    <n v="0"/>
    <n v="0"/>
    <n v="5"/>
  </r>
  <r>
    <n v="3407"/>
    <x v="173"/>
    <x v="0"/>
    <x v="175"/>
    <x v="1"/>
    <n v="15"/>
    <x v="2"/>
    <s v="Yes"/>
    <x v="0"/>
    <s v="Yes"/>
    <n v="20"/>
    <n v="7"/>
    <n v="58"/>
  </r>
  <r>
    <n v="3408"/>
    <x v="174"/>
    <x v="2"/>
    <x v="176"/>
    <x v="0"/>
    <n v="10"/>
    <x v="1"/>
    <s v="No"/>
    <x v="1"/>
    <s v="Yes"/>
    <n v="20"/>
    <n v="10"/>
    <n v="20"/>
  </r>
  <r>
    <n v="3409"/>
    <x v="175"/>
    <x v="1"/>
    <x v="177"/>
    <x v="1"/>
    <n v="5"/>
    <x v="2"/>
    <s v="No"/>
    <x v="1"/>
    <s v="No"/>
    <n v="0"/>
    <n v="1"/>
    <n v="4"/>
  </r>
  <r>
    <n v="3410"/>
    <x v="176"/>
    <x v="0"/>
    <x v="178"/>
    <x v="0"/>
    <n v="15"/>
    <x v="0"/>
    <s v="Yes"/>
    <x v="0"/>
    <s v="Yes"/>
    <n v="20"/>
    <n v="15"/>
    <n v="50"/>
  </r>
  <r>
    <n v="3411"/>
    <x v="177"/>
    <x v="2"/>
    <x v="179"/>
    <x v="1"/>
    <n v="10"/>
    <x v="0"/>
    <s v="No"/>
    <x v="1"/>
    <s v="Yes"/>
    <n v="20"/>
    <n v="5"/>
    <n v="25"/>
  </r>
  <r>
    <n v="3412"/>
    <x v="178"/>
    <x v="1"/>
    <x v="180"/>
    <x v="0"/>
    <n v="5"/>
    <x v="1"/>
    <s v="No"/>
    <x v="1"/>
    <s v="No"/>
    <n v="0"/>
    <n v="0"/>
    <n v="5"/>
  </r>
  <r>
    <n v="3413"/>
    <x v="179"/>
    <x v="0"/>
    <x v="181"/>
    <x v="1"/>
    <n v="15"/>
    <x v="2"/>
    <s v="Yes"/>
    <x v="0"/>
    <s v="Yes"/>
    <n v="20"/>
    <n v="20"/>
    <n v="45"/>
  </r>
  <r>
    <n v="3414"/>
    <x v="180"/>
    <x v="2"/>
    <x v="182"/>
    <x v="0"/>
    <n v="10"/>
    <x v="2"/>
    <s v="No"/>
    <x v="1"/>
    <s v="Yes"/>
    <n v="20"/>
    <n v="12"/>
    <n v="18"/>
  </r>
  <r>
    <n v="3415"/>
    <x v="181"/>
    <x v="1"/>
    <x v="183"/>
    <x v="1"/>
    <n v="5"/>
    <x v="0"/>
    <s v="No"/>
    <x v="1"/>
    <s v="No"/>
    <n v="0"/>
    <n v="2"/>
    <n v="3"/>
  </r>
  <r>
    <n v="3416"/>
    <x v="182"/>
    <x v="0"/>
    <x v="184"/>
    <x v="0"/>
    <n v="15"/>
    <x v="1"/>
    <s v="Yes"/>
    <x v="0"/>
    <s v="Yes"/>
    <n v="20"/>
    <n v="5"/>
    <n v="60"/>
  </r>
  <r>
    <n v="3417"/>
    <x v="183"/>
    <x v="2"/>
    <x v="185"/>
    <x v="1"/>
    <n v="10"/>
    <x v="0"/>
    <s v="No"/>
    <x v="1"/>
    <s v="Yes"/>
    <n v="20"/>
    <n v="10"/>
    <n v="20"/>
  </r>
  <r>
    <n v="3418"/>
    <x v="184"/>
    <x v="1"/>
    <x v="186"/>
    <x v="0"/>
    <n v="5"/>
    <x v="2"/>
    <s v="No"/>
    <x v="1"/>
    <s v="No"/>
    <n v="0"/>
    <n v="0"/>
    <n v="5"/>
  </r>
  <r>
    <n v="3419"/>
    <x v="185"/>
    <x v="0"/>
    <x v="187"/>
    <x v="1"/>
    <n v="15"/>
    <x v="0"/>
    <s v="Yes"/>
    <x v="0"/>
    <s v="Yes"/>
    <n v="20"/>
    <n v="3"/>
    <n v="62"/>
  </r>
  <r>
    <n v="3420"/>
    <x v="186"/>
    <x v="2"/>
    <x v="188"/>
    <x v="0"/>
    <n v="10"/>
    <x v="1"/>
    <s v="No"/>
    <x v="1"/>
    <s v="Yes"/>
    <n v="20"/>
    <n v="15"/>
    <n v="15"/>
  </r>
  <r>
    <n v="3421"/>
    <x v="15"/>
    <x v="1"/>
    <x v="189"/>
    <x v="1"/>
    <n v="5"/>
    <x v="0"/>
    <s v="No"/>
    <x v="1"/>
    <s v="No"/>
    <n v="0"/>
    <n v="1"/>
    <n v="4"/>
  </r>
  <r>
    <n v="3422"/>
    <x v="187"/>
    <x v="0"/>
    <x v="190"/>
    <x v="0"/>
    <n v="15"/>
    <x v="2"/>
    <s v="Yes"/>
    <x v="0"/>
    <s v="Yes"/>
    <n v="20"/>
    <n v="7"/>
    <n v="58"/>
  </r>
  <r>
    <n v="3423"/>
    <x v="188"/>
    <x v="2"/>
    <x v="191"/>
    <x v="1"/>
    <n v="10"/>
    <x v="0"/>
    <s v="No"/>
    <x v="1"/>
    <s v="Yes"/>
    <n v="20"/>
    <n v="10"/>
    <n v="20"/>
  </r>
  <r>
    <n v="3424"/>
    <x v="14"/>
    <x v="1"/>
    <x v="192"/>
    <x v="0"/>
    <n v="5"/>
    <x v="1"/>
    <s v="No"/>
    <x v="1"/>
    <s v="No"/>
    <n v="0"/>
    <n v="0"/>
    <n v="5"/>
  </r>
  <r>
    <n v="3425"/>
    <x v="189"/>
    <x v="0"/>
    <x v="193"/>
    <x v="1"/>
    <n v="15"/>
    <x v="0"/>
    <s v="Yes"/>
    <x v="0"/>
    <s v="Yes"/>
    <n v="20"/>
    <n v="20"/>
    <n v="45"/>
  </r>
  <r>
    <n v="3426"/>
    <x v="167"/>
    <x v="2"/>
    <x v="194"/>
    <x v="0"/>
    <n v="10"/>
    <x v="2"/>
    <s v="No"/>
    <x v="1"/>
    <s v="Yes"/>
    <n v="20"/>
    <n v="15"/>
    <n v="15"/>
  </r>
  <r>
    <n v="3427"/>
    <x v="190"/>
    <x v="1"/>
    <x v="195"/>
    <x v="1"/>
    <n v="5"/>
    <x v="0"/>
    <s v="No"/>
    <x v="1"/>
    <s v="No"/>
    <n v="0"/>
    <n v="1"/>
    <n v="4"/>
  </r>
  <r>
    <n v="3428"/>
    <x v="191"/>
    <x v="0"/>
    <x v="196"/>
    <x v="0"/>
    <n v="15"/>
    <x v="1"/>
    <s v="Yes"/>
    <x v="0"/>
    <s v="Yes"/>
    <n v="20"/>
    <n v="3"/>
    <n v="62"/>
  </r>
  <r>
    <n v="3429"/>
    <x v="192"/>
    <x v="2"/>
    <x v="197"/>
    <x v="1"/>
    <n v="10"/>
    <x v="0"/>
    <s v="No"/>
    <x v="1"/>
    <s v="Yes"/>
    <n v="20"/>
    <n v="10"/>
    <n v="20"/>
  </r>
  <r>
    <n v="3430"/>
    <x v="193"/>
    <x v="1"/>
    <x v="198"/>
    <x v="0"/>
    <n v="5"/>
    <x v="2"/>
    <s v="No"/>
    <x v="1"/>
    <s v="No"/>
    <n v="0"/>
    <n v="0"/>
    <n v="5"/>
  </r>
  <r>
    <n v="3431"/>
    <x v="194"/>
    <x v="0"/>
    <x v="199"/>
    <x v="1"/>
    <n v="15"/>
    <x v="0"/>
    <s v="Yes"/>
    <x v="0"/>
    <s v="Yes"/>
    <n v="20"/>
    <n v="15"/>
    <n v="50"/>
  </r>
  <r>
    <n v="3432"/>
    <x v="195"/>
    <x v="2"/>
    <x v="200"/>
    <x v="0"/>
    <n v="10"/>
    <x v="1"/>
    <s v="No"/>
    <x v="1"/>
    <s v="Yes"/>
    <n v="20"/>
    <n v="15"/>
    <n v="15"/>
  </r>
  <r>
    <n v="3433"/>
    <x v="196"/>
    <x v="1"/>
    <x v="201"/>
    <x v="1"/>
    <n v="5"/>
    <x v="0"/>
    <s v="No"/>
    <x v="1"/>
    <s v="No"/>
    <n v="0"/>
    <n v="1"/>
    <n v="4"/>
  </r>
  <r>
    <n v="3434"/>
    <x v="197"/>
    <x v="0"/>
    <x v="202"/>
    <x v="0"/>
    <n v="15"/>
    <x v="2"/>
    <s v="Yes"/>
    <x v="0"/>
    <s v="Yes"/>
    <n v="20"/>
    <n v="7"/>
    <n v="58"/>
  </r>
  <r>
    <n v="3435"/>
    <x v="198"/>
    <x v="2"/>
    <x v="203"/>
    <x v="1"/>
    <n v="10"/>
    <x v="0"/>
    <s v="No"/>
    <x v="1"/>
    <s v="Yes"/>
    <n v="20"/>
    <n v="10"/>
    <n v="20"/>
  </r>
  <r>
    <n v="3436"/>
    <x v="199"/>
    <x v="1"/>
    <x v="204"/>
    <x v="0"/>
    <n v="5"/>
    <x v="0"/>
    <s v="No"/>
    <x v="1"/>
    <s v="No"/>
    <n v="0"/>
    <n v="0"/>
    <n v="5"/>
  </r>
  <r>
    <n v="3437"/>
    <x v="200"/>
    <x v="0"/>
    <x v="205"/>
    <x v="1"/>
    <n v="15"/>
    <x v="2"/>
    <s v="Yes"/>
    <x v="0"/>
    <s v="Yes"/>
    <n v="20"/>
    <n v="7"/>
    <n v="58"/>
  </r>
  <r>
    <n v="3438"/>
    <x v="201"/>
    <x v="2"/>
    <x v="206"/>
    <x v="0"/>
    <n v="10"/>
    <x v="1"/>
    <s v="No"/>
    <x v="1"/>
    <s v="Yes"/>
    <n v="20"/>
    <n v="10"/>
    <n v="20"/>
  </r>
  <r>
    <n v="3439"/>
    <x v="202"/>
    <x v="1"/>
    <x v="207"/>
    <x v="1"/>
    <n v="5"/>
    <x v="2"/>
    <s v="No"/>
    <x v="1"/>
    <s v="No"/>
    <n v="0"/>
    <n v="1"/>
    <n v="4"/>
  </r>
  <r>
    <n v="3440"/>
    <x v="203"/>
    <x v="0"/>
    <x v="208"/>
    <x v="0"/>
    <n v="15"/>
    <x v="0"/>
    <s v="Yes"/>
    <x v="0"/>
    <s v="Yes"/>
    <n v="20"/>
    <n v="15"/>
    <n v="50"/>
  </r>
  <r>
    <n v="3441"/>
    <x v="204"/>
    <x v="2"/>
    <x v="209"/>
    <x v="1"/>
    <n v="10"/>
    <x v="0"/>
    <s v="No"/>
    <x v="1"/>
    <s v="Yes"/>
    <n v="20"/>
    <n v="5"/>
    <n v="25"/>
  </r>
  <r>
    <n v="3442"/>
    <x v="205"/>
    <x v="1"/>
    <x v="210"/>
    <x v="0"/>
    <n v="5"/>
    <x v="1"/>
    <s v="No"/>
    <x v="1"/>
    <s v="No"/>
    <n v="0"/>
    <n v="0"/>
    <n v="5"/>
  </r>
  <r>
    <n v="3443"/>
    <x v="206"/>
    <x v="0"/>
    <x v="211"/>
    <x v="1"/>
    <n v="15"/>
    <x v="2"/>
    <s v="Yes"/>
    <x v="0"/>
    <s v="Yes"/>
    <n v="20"/>
    <n v="20"/>
    <n v="45"/>
  </r>
  <r>
    <n v="3444"/>
    <x v="207"/>
    <x v="2"/>
    <x v="212"/>
    <x v="0"/>
    <n v="10"/>
    <x v="2"/>
    <s v="No"/>
    <x v="1"/>
    <s v="Yes"/>
    <n v="20"/>
    <n v="12"/>
    <n v="18"/>
  </r>
  <r>
    <n v="3445"/>
    <x v="37"/>
    <x v="1"/>
    <x v="213"/>
    <x v="1"/>
    <n v="5"/>
    <x v="0"/>
    <s v="No"/>
    <x v="1"/>
    <s v="No"/>
    <n v="0"/>
    <n v="2"/>
    <n v="3"/>
  </r>
  <r>
    <n v="3446"/>
    <x v="208"/>
    <x v="0"/>
    <x v="214"/>
    <x v="0"/>
    <n v="15"/>
    <x v="1"/>
    <s v="Yes"/>
    <x v="0"/>
    <s v="Yes"/>
    <n v="20"/>
    <n v="5"/>
    <n v="60"/>
  </r>
  <r>
    <n v="3447"/>
    <x v="209"/>
    <x v="2"/>
    <x v="215"/>
    <x v="1"/>
    <n v="10"/>
    <x v="0"/>
    <s v="No"/>
    <x v="1"/>
    <s v="Yes"/>
    <n v="20"/>
    <n v="10"/>
    <n v="20"/>
  </r>
  <r>
    <n v="3448"/>
    <x v="210"/>
    <x v="1"/>
    <x v="216"/>
    <x v="0"/>
    <n v="5"/>
    <x v="2"/>
    <s v="No"/>
    <x v="1"/>
    <s v="No"/>
    <n v="0"/>
    <n v="0"/>
    <n v="5"/>
  </r>
  <r>
    <n v="3449"/>
    <x v="211"/>
    <x v="0"/>
    <x v="217"/>
    <x v="1"/>
    <n v="15"/>
    <x v="0"/>
    <s v="Yes"/>
    <x v="0"/>
    <s v="Yes"/>
    <n v="20"/>
    <n v="3"/>
    <n v="62"/>
  </r>
  <r>
    <n v="3450"/>
    <x v="212"/>
    <x v="2"/>
    <x v="218"/>
    <x v="0"/>
    <n v="10"/>
    <x v="1"/>
    <s v="No"/>
    <x v="1"/>
    <s v="Yes"/>
    <n v="20"/>
    <n v="15"/>
    <n v="15"/>
  </r>
  <r>
    <n v="3451"/>
    <x v="213"/>
    <x v="1"/>
    <x v="219"/>
    <x v="1"/>
    <n v="5"/>
    <x v="0"/>
    <s v="No"/>
    <x v="1"/>
    <s v="No"/>
    <n v="0"/>
    <n v="1"/>
    <n v="4"/>
  </r>
  <r>
    <n v="3452"/>
    <x v="191"/>
    <x v="0"/>
    <x v="220"/>
    <x v="0"/>
    <n v="15"/>
    <x v="2"/>
    <s v="Yes"/>
    <x v="0"/>
    <s v="Yes"/>
    <n v="20"/>
    <n v="7"/>
    <n v="58"/>
  </r>
  <r>
    <n v="3453"/>
    <x v="45"/>
    <x v="2"/>
    <x v="221"/>
    <x v="1"/>
    <n v="10"/>
    <x v="0"/>
    <s v="No"/>
    <x v="1"/>
    <s v="Yes"/>
    <n v="20"/>
    <n v="10"/>
    <n v="20"/>
  </r>
  <r>
    <n v="3454"/>
    <x v="214"/>
    <x v="1"/>
    <x v="222"/>
    <x v="0"/>
    <n v="5"/>
    <x v="1"/>
    <s v="No"/>
    <x v="1"/>
    <s v="No"/>
    <n v="0"/>
    <n v="0"/>
    <n v="5"/>
  </r>
  <r>
    <n v="3455"/>
    <x v="215"/>
    <x v="0"/>
    <x v="223"/>
    <x v="1"/>
    <n v="15"/>
    <x v="0"/>
    <s v="Yes"/>
    <x v="0"/>
    <s v="Yes"/>
    <n v="20"/>
    <n v="20"/>
    <n v="45"/>
  </r>
  <r>
    <n v="3456"/>
    <x v="216"/>
    <x v="2"/>
    <x v="224"/>
    <x v="0"/>
    <n v="10"/>
    <x v="2"/>
    <s v="No"/>
    <x v="1"/>
    <s v="Yes"/>
    <n v="20"/>
    <n v="15"/>
    <n v="15"/>
  </r>
  <r>
    <n v="3457"/>
    <x v="217"/>
    <x v="1"/>
    <x v="225"/>
    <x v="1"/>
    <n v="5"/>
    <x v="0"/>
    <s v="No"/>
    <x v="1"/>
    <s v="No"/>
    <n v="0"/>
    <n v="1"/>
    <n v="4"/>
  </r>
  <r>
    <n v="3458"/>
    <x v="218"/>
    <x v="0"/>
    <x v="226"/>
    <x v="0"/>
    <n v="15"/>
    <x v="1"/>
    <s v="Yes"/>
    <x v="0"/>
    <s v="Yes"/>
    <n v="20"/>
    <n v="3"/>
    <n v="62"/>
  </r>
  <r>
    <n v="3459"/>
    <x v="219"/>
    <x v="2"/>
    <x v="227"/>
    <x v="1"/>
    <n v="10"/>
    <x v="0"/>
    <s v="No"/>
    <x v="1"/>
    <s v="Yes"/>
    <n v="20"/>
    <n v="10"/>
    <n v="20"/>
  </r>
  <r>
    <n v="3460"/>
    <x v="127"/>
    <x v="1"/>
    <x v="228"/>
    <x v="0"/>
    <n v="5"/>
    <x v="2"/>
    <s v="No"/>
    <x v="1"/>
    <s v="No"/>
    <n v="0"/>
    <n v="0"/>
    <n v="5"/>
  </r>
  <r>
    <n v="3461"/>
    <x v="220"/>
    <x v="0"/>
    <x v="229"/>
    <x v="1"/>
    <n v="15"/>
    <x v="0"/>
    <s v="Yes"/>
    <x v="0"/>
    <s v="Yes"/>
    <n v="20"/>
    <n v="15"/>
    <n v="50"/>
  </r>
  <r>
    <n v="3462"/>
    <x v="221"/>
    <x v="2"/>
    <x v="230"/>
    <x v="0"/>
    <n v="10"/>
    <x v="1"/>
    <s v="No"/>
    <x v="1"/>
    <s v="Yes"/>
    <n v="20"/>
    <n v="15"/>
    <n v="15"/>
  </r>
  <r>
    <n v="3463"/>
    <x v="222"/>
    <x v="1"/>
    <x v="231"/>
    <x v="1"/>
    <n v="5"/>
    <x v="0"/>
    <s v="No"/>
    <x v="1"/>
    <s v="No"/>
    <n v="0"/>
    <n v="1"/>
    <n v="4"/>
  </r>
  <r>
    <n v="3464"/>
    <x v="223"/>
    <x v="0"/>
    <x v="232"/>
    <x v="0"/>
    <n v="15"/>
    <x v="2"/>
    <s v="Yes"/>
    <x v="0"/>
    <s v="Yes"/>
    <n v="20"/>
    <n v="7"/>
    <n v="58"/>
  </r>
  <r>
    <n v="3465"/>
    <x v="224"/>
    <x v="2"/>
    <x v="233"/>
    <x v="1"/>
    <n v="10"/>
    <x v="0"/>
    <s v="No"/>
    <x v="1"/>
    <s v="Yes"/>
    <n v="20"/>
    <n v="10"/>
    <n v="20"/>
  </r>
  <r>
    <n v="3466"/>
    <x v="225"/>
    <x v="1"/>
    <x v="234"/>
    <x v="0"/>
    <n v="5"/>
    <x v="1"/>
    <s v="No"/>
    <x v="1"/>
    <s v="No"/>
    <n v="0"/>
    <n v="0"/>
    <n v="5"/>
  </r>
  <r>
    <n v="3467"/>
    <x v="226"/>
    <x v="0"/>
    <x v="235"/>
    <x v="1"/>
    <n v="15"/>
    <x v="0"/>
    <s v="Yes"/>
    <x v="0"/>
    <s v="Yes"/>
    <n v="20"/>
    <n v="15"/>
    <n v="50"/>
  </r>
  <r>
    <n v="3468"/>
    <x v="227"/>
    <x v="2"/>
    <x v="236"/>
    <x v="0"/>
    <n v="10"/>
    <x v="2"/>
    <s v="No"/>
    <x v="1"/>
    <s v="Yes"/>
    <n v="20"/>
    <n v="12"/>
    <n v="18"/>
  </r>
  <r>
    <n v="3469"/>
    <x v="228"/>
    <x v="1"/>
    <x v="237"/>
    <x v="1"/>
    <n v="5"/>
    <x v="0"/>
    <s v="No"/>
    <x v="1"/>
    <s v="No"/>
    <n v="0"/>
    <n v="2"/>
    <n v="3"/>
  </r>
  <r>
    <n v="3470"/>
    <x v="229"/>
    <x v="0"/>
    <x v="238"/>
    <x v="0"/>
    <n v="15"/>
    <x v="1"/>
    <s v="Yes"/>
    <x v="0"/>
    <s v="Yes"/>
    <n v="20"/>
    <n v="5"/>
    <n v="60"/>
  </r>
  <r>
    <n v="3471"/>
    <x v="230"/>
    <x v="2"/>
    <x v="239"/>
    <x v="1"/>
    <n v="10"/>
    <x v="0"/>
    <s v="No"/>
    <x v="1"/>
    <s v="Yes"/>
    <n v="20"/>
    <n v="10"/>
    <n v="20"/>
  </r>
  <r>
    <n v="3472"/>
    <x v="231"/>
    <x v="1"/>
    <x v="240"/>
    <x v="0"/>
    <n v="5"/>
    <x v="2"/>
    <s v="No"/>
    <x v="1"/>
    <s v="No"/>
    <n v="0"/>
    <n v="0"/>
    <n v="5"/>
  </r>
  <r>
    <n v="3473"/>
    <x v="140"/>
    <x v="0"/>
    <x v="241"/>
    <x v="1"/>
    <n v="15"/>
    <x v="0"/>
    <s v="Yes"/>
    <x v="0"/>
    <s v="Yes"/>
    <n v="20"/>
    <n v="3"/>
    <n v="62"/>
  </r>
  <r>
    <n v="3474"/>
    <x v="232"/>
    <x v="2"/>
    <x v="242"/>
    <x v="0"/>
    <n v="10"/>
    <x v="1"/>
    <s v="No"/>
    <x v="1"/>
    <s v="Yes"/>
    <n v="20"/>
    <n v="15"/>
    <n v="15"/>
  </r>
  <r>
    <n v="3475"/>
    <x v="233"/>
    <x v="1"/>
    <x v="243"/>
    <x v="1"/>
    <n v="5"/>
    <x v="0"/>
    <s v="No"/>
    <x v="1"/>
    <s v="No"/>
    <n v="0"/>
    <n v="1"/>
    <n v="4"/>
  </r>
  <r>
    <n v="3476"/>
    <x v="234"/>
    <x v="0"/>
    <x v="244"/>
    <x v="0"/>
    <n v="15"/>
    <x v="2"/>
    <s v="Yes"/>
    <x v="0"/>
    <s v="Yes"/>
    <n v="20"/>
    <n v="7"/>
    <n v="58"/>
  </r>
  <r>
    <n v="3477"/>
    <x v="235"/>
    <x v="2"/>
    <x v="245"/>
    <x v="1"/>
    <n v="10"/>
    <x v="0"/>
    <s v="No"/>
    <x v="1"/>
    <s v="Yes"/>
    <n v="20"/>
    <n v="10"/>
    <n v="20"/>
  </r>
  <r>
    <n v="3478"/>
    <x v="236"/>
    <x v="1"/>
    <x v="246"/>
    <x v="0"/>
    <n v="5"/>
    <x v="1"/>
    <s v="No"/>
    <x v="1"/>
    <s v="No"/>
    <n v="0"/>
    <n v="0"/>
    <n v="5"/>
  </r>
  <r>
    <n v="3479"/>
    <x v="237"/>
    <x v="0"/>
    <x v="247"/>
    <x v="1"/>
    <n v="15"/>
    <x v="0"/>
    <s v="Yes"/>
    <x v="0"/>
    <s v="Yes"/>
    <n v="20"/>
    <n v="20"/>
    <n v="45"/>
  </r>
  <r>
    <n v="3480"/>
    <x v="238"/>
    <x v="2"/>
    <x v="248"/>
    <x v="0"/>
    <n v="10"/>
    <x v="2"/>
    <s v="No"/>
    <x v="1"/>
    <s v="Yes"/>
    <n v="20"/>
    <n v="15"/>
    <n v="15"/>
  </r>
  <r>
    <n v="3481"/>
    <x v="239"/>
    <x v="1"/>
    <x v="249"/>
    <x v="1"/>
    <n v="5"/>
    <x v="0"/>
    <s v="No"/>
    <x v="1"/>
    <s v="No"/>
    <n v="0"/>
    <n v="1"/>
    <n v="4"/>
  </r>
  <r>
    <n v="3482"/>
    <x v="240"/>
    <x v="0"/>
    <x v="250"/>
    <x v="0"/>
    <n v="15"/>
    <x v="1"/>
    <s v="Yes"/>
    <x v="0"/>
    <s v="Yes"/>
    <n v="20"/>
    <n v="3"/>
    <n v="62"/>
  </r>
  <r>
    <n v="3483"/>
    <x v="241"/>
    <x v="2"/>
    <x v="251"/>
    <x v="1"/>
    <n v="10"/>
    <x v="0"/>
    <s v="No"/>
    <x v="1"/>
    <s v="Yes"/>
    <n v="20"/>
    <n v="10"/>
    <n v="20"/>
  </r>
  <r>
    <n v="3484"/>
    <x v="242"/>
    <x v="1"/>
    <x v="252"/>
    <x v="0"/>
    <n v="5"/>
    <x v="2"/>
    <s v="No"/>
    <x v="1"/>
    <s v="No"/>
    <n v="0"/>
    <n v="0"/>
    <n v="5"/>
  </r>
  <r>
    <n v="3485"/>
    <x v="243"/>
    <x v="0"/>
    <x v="253"/>
    <x v="1"/>
    <n v="15"/>
    <x v="0"/>
    <s v="Yes"/>
    <x v="0"/>
    <s v="Yes"/>
    <n v="20"/>
    <n v="15"/>
    <n v="50"/>
  </r>
  <r>
    <n v="3486"/>
    <x v="244"/>
    <x v="1"/>
    <x v="254"/>
    <x v="0"/>
    <n v="5"/>
    <x v="0"/>
    <s v="No"/>
    <x v="1"/>
    <s v="No"/>
    <n v="0"/>
    <n v="0"/>
    <n v="5"/>
  </r>
  <r>
    <n v="3487"/>
    <x v="245"/>
    <x v="0"/>
    <x v="255"/>
    <x v="1"/>
    <n v="15"/>
    <x v="2"/>
    <s v="Yes"/>
    <x v="0"/>
    <s v="Yes"/>
    <n v="20"/>
    <n v="7"/>
    <n v="58"/>
  </r>
  <r>
    <n v="3488"/>
    <x v="246"/>
    <x v="2"/>
    <x v="256"/>
    <x v="0"/>
    <n v="10"/>
    <x v="1"/>
    <s v="No"/>
    <x v="1"/>
    <s v="Yes"/>
    <n v="20"/>
    <n v="10"/>
    <n v="20"/>
  </r>
  <r>
    <n v="3489"/>
    <x v="247"/>
    <x v="1"/>
    <x v="257"/>
    <x v="1"/>
    <n v="5"/>
    <x v="2"/>
    <s v="No"/>
    <x v="1"/>
    <s v="No"/>
    <n v="0"/>
    <n v="1"/>
    <n v="4"/>
  </r>
  <r>
    <n v="3490"/>
    <x v="248"/>
    <x v="0"/>
    <x v="258"/>
    <x v="0"/>
    <n v="15"/>
    <x v="0"/>
    <s v="Yes"/>
    <x v="0"/>
    <s v="Yes"/>
    <n v="20"/>
    <n v="15"/>
    <n v="50"/>
  </r>
  <r>
    <n v="3491"/>
    <x v="249"/>
    <x v="2"/>
    <x v="259"/>
    <x v="1"/>
    <n v="10"/>
    <x v="0"/>
    <s v="No"/>
    <x v="1"/>
    <s v="Yes"/>
    <n v="20"/>
    <n v="5"/>
    <n v="25"/>
  </r>
  <r>
    <n v="3492"/>
    <x v="250"/>
    <x v="1"/>
    <x v="260"/>
    <x v="0"/>
    <n v="5"/>
    <x v="1"/>
    <s v="No"/>
    <x v="1"/>
    <s v="No"/>
    <n v="0"/>
    <n v="0"/>
    <n v="5"/>
  </r>
  <r>
    <n v="3493"/>
    <x v="251"/>
    <x v="0"/>
    <x v="261"/>
    <x v="1"/>
    <n v="15"/>
    <x v="2"/>
    <s v="Yes"/>
    <x v="0"/>
    <s v="Yes"/>
    <n v="20"/>
    <n v="20"/>
    <n v="45"/>
  </r>
  <r>
    <n v="3494"/>
    <x v="252"/>
    <x v="2"/>
    <x v="262"/>
    <x v="0"/>
    <n v="10"/>
    <x v="2"/>
    <s v="No"/>
    <x v="1"/>
    <s v="Yes"/>
    <n v="20"/>
    <n v="12"/>
    <n v="18"/>
  </r>
  <r>
    <n v="3495"/>
    <x v="253"/>
    <x v="1"/>
    <x v="263"/>
    <x v="1"/>
    <n v="5"/>
    <x v="0"/>
    <s v="No"/>
    <x v="1"/>
    <s v="No"/>
    <n v="0"/>
    <n v="2"/>
    <n v="3"/>
  </r>
  <r>
    <n v="3496"/>
    <x v="254"/>
    <x v="0"/>
    <x v="264"/>
    <x v="0"/>
    <n v="15"/>
    <x v="1"/>
    <s v="Yes"/>
    <x v="0"/>
    <s v="Yes"/>
    <n v="20"/>
    <n v="5"/>
    <n v="60"/>
  </r>
  <r>
    <n v="3497"/>
    <x v="255"/>
    <x v="2"/>
    <x v="265"/>
    <x v="1"/>
    <n v="10"/>
    <x v="0"/>
    <s v="No"/>
    <x v="1"/>
    <s v="Yes"/>
    <n v="20"/>
    <n v="10"/>
    <n v="20"/>
  </r>
  <r>
    <n v="3498"/>
    <x v="256"/>
    <x v="1"/>
    <x v="266"/>
    <x v="0"/>
    <n v="5"/>
    <x v="2"/>
    <s v="No"/>
    <x v="1"/>
    <s v="No"/>
    <n v="0"/>
    <n v="0"/>
    <n v="5"/>
  </r>
  <r>
    <n v="3499"/>
    <x v="257"/>
    <x v="0"/>
    <x v="267"/>
    <x v="1"/>
    <n v="15"/>
    <x v="0"/>
    <s v="Yes"/>
    <x v="0"/>
    <s v="Yes"/>
    <n v="20"/>
    <n v="3"/>
    <n v="62"/>
  </r>
  <r>
    <n v="3500"/>
    <x v="258"/>
    <x v="2"/>
    <x v="268"/>
    <x v="0"/>
    <n v="10"/>
    <x v="1"/>
    <s v="No"/>
    <x v="1"/>
    <s v="Yes"/>
    <n v="20"/>
    <n v="15"/>
    <n v="15"/>
  </r>
  <r>
    <n v="3501"/>
    <x v="259"/>
    <x v="1"/>
    <x v="269"/>
    <x v="1"/>
    <n v="5"/>
    <x v="0"/>
    <s v="No"/>
    <x v="1"/>
    <s v="No"/>
    <n v="0"/>
    <n v="1"/>
    <n v="4"/>
  </r>
  <r>
    <n v="3502"/>
    <x v="260"/>
    <x v="0"/>
    <x v="270"/>
    <x v="0"/>
    <n v="15"/>
    <x v="2"/>
    <s v="Yes"/>
    <x v="0"/>
    <s v="Yes"/>
    <n v="20"/>
    <n v="7"/>
    <n v="58"/>
  </r>
  <r>
    <n v="3503"/>
    <x v="119"/>
    <x v="2"/>
    <x v="271"/>
    <x v="1"/>
    <n v="10"/>
    <x v="0"/>
    <s v="No"/>
    <x v="1"/>
    <s v="Yes"/>
    <n v="20"/>
    <n v="10"/>
    <n v="20"/>
  </r>
  <r>
    <n v="3504"/>
    <x v="261"/>
    <x v="1"/>
    <x v="272"/>
    <x v="0"/>
    <n v="5"/>
    <x v="1"/>
    <s v="No"/>
    <x v="1"/>
    <s v="No"/>
    <n v="0"/>
    <n v="0"/>
    <n v="5"/>
  </r>
  <r>
    <n v="3505"/>
    <x v="262"/>
    <x v="0"/>
    <x v="273"/>
    <x v="1"/>
    <n v="15"/>
    <x v="0"/>
    <s v="Yes"/>
    <x v="0"/>
    <s v="Yes"/>
    <n v="20"/>
    <n v="20"/>
    <n v="45"/>
  </r>
  <r>
    <n v="3506"/>
    <x v="263"/>
    <x v="2"/>
    <x v="274"/>
    <x v="0"/>
    <n v="10"/>
    <x v="2"/>
    <s v="No"/>
    <x v="1"/>
    <s v="Yes"/>
    <n v="20"/>
    <n v="15"/>
    <n v="15"/>
  </r>
  <r>
    <n v="3507"/>
    <x v="264"/>
    <x v="1"/>
    <x v="275"/>
    <x v="1"/>
    <n v="5"/>
    <x v="0"/>
    <s v="No"/>
    <x v="1"/>
    <s v="No"/>
    <n v="0"/>
    <n v="1"/>
    <n v="4"/>
  </r>
  <r>
    <n v="3508"/>
    <x v="265"/>
    <x v="0"/>
    <x v="276"/>
    <x v="0"/>
    <n v="15"/>
    <x v="1"/>
    <s v="Yes"/>
    <x v="0"/>
    <s v="Yes"/>
    <n v="20"/>
    <n v="3"/>
    <n v="62"/>
  </r>
  <r>
    <n v="3509"/>
    <x v="266"/>
    <x v="2"/>
    <x v="277"/>
    <x v="1"/>
    <n v="10"/>
    <x v="0"/>
    <s v="No"/>
    <x v="1"/>
    <s v="Yes"/>
    <n v="20"/>
    <n v="10"/>
    <n v="20"/>
  </r>
  <r>
    <n v="3510"/>
    <x v="267"/>
    <x v="1"/>
    <x v="278"/>
    <x v="0"/>
    <n v="5"/>
    <x v="2"/>
    <s v="No"/>
    <x v="1"/>
    <s v="No"/>
    <n v="0"/>
    <n v="0"/>
    <n v="5"/>
  </r>
  <r>
    <n v="3511"/>
    <x v="268"/>
    <x v="0"/>
    <x v="279"/>
    <x v="1"/>
    <n v="15"/>
    <x v="0"/>
    <s v="Yes"/>
    <x v="0"/>
    <s v="Yes"/>
    <n v="20"/>
    <n v="15"/>
    <n v="50"/>
  </r>
  <r>
    <n v="3512"/>
    <x v="269"/>
    <x v="2"/>
    <x v="280"/>
    <x v="0"/>
    <n v="10"/>
    <x v="1"/>
    <s v="No"/>
    <x v="1"/>
    <s v="Yes"/>
    <n v="20"/>
    <n v="15"/>
    <n v="15"/>
  </r>
  <r>
    <n v="3513"/>
    <x v="270"/>
    <x v="1"/>
    <x v="281"/>
    <x v="1"/>
    <n v="5"/>
    <x v="0"/>
    <s v="No"/>
    <x v="1"/>
    <s v="No"/>
    <n v="0"/>
    <n v="1"/>
    <n v="4"/>
  </r>
  <r>
    <n v="3514"/>
    <x v="271"/>
    <x v="0"/>
    <x v="282"/>
    <x v="0"/>
    <n v="15"/>
    <x v="2"/>
    <s v="Yes"/>
    <x v="0"/>
    <s v="Yes"/>
    <n v="20"/>
    <n v="7"/>
    <n v="58"/>
  </r>
  <r>
    <n v="3515"/>
    <x v="130"/>
    <x v="2"/>
    <x v="283"/>
    <x v="1"/>
    <n v="10"/>
    <x v="0"/>
    <s v="No"/>
    <x v="1"/>
    <s v="Yes"/>
    <n v="20"/>
    <n v="10"/>
    <n v="20"/>
  </r>
  <r>
    <n v="3516"/>
    <x v="131"/>
    <x v="1"/>
    <x v="284"/>
    <x v="0"/>
    <n v="5"/>
    <x v="1"/>
    <s v="No"/>
    <x v="1"/>
    <s v="No"/>
    <n v="0"/>
    <n v="0"/>
    <n v="5"/>
  </r>
  <r>
    <n v="3517"/>
    <x v="181"/>
    <x v="0"/>
    <x v="285"/>
    <x v="1"/>
    <n v="15"/>
    <x v="0"/>
    <s v="Yes"/>
    <x v="0"/>
    <s v="Yes"/>
    <n v="20"/>
    <n v="20"/>
    <n v="45"/>
  </r>
  <r>
    <n v="3518"/>
    <x v="272"/>
    <x v="2"/>
    <x v="286"/>
    <x v="0"/>
    <n v="10"/>
    <x v="2"/>
    <s v="No"/>
    <x v="1"/>
    <s v="Yes"/>
    <n v="20"/>
    <n v="12"/>
    <n v="18"/>
  </r>
  <r>
    <n v="3519"/>
    <x v="273"/>
    <x v="1"/>
    <x v="287"/>
    <x v="1"/>
    <n v="5"/>
    <x v="0"/>
    <s v="No"/>
    <x v="1"/>
    <s v="No"/>
    <n v="0"/>
    <n v="2"/>
    <n v="3"/>
  </r>
  <r>
    <n v="3520"/>
    <x v="274"/>
    <x v="0"/>
    <x v="288"/>
    <x v="0"/>
    <n v="15"/>
    <x v="1"/>
    <s v="Yes"/>
    <x v="0"/>
    <s v="Yes"/>
    <n v="20"/>
    <n v="5"/>
    <n v="60"/>
  </r>
  <r>
    <n v="3521"/>
    <x v="275"/>
    <x v="2"/>
    <x v="289"/>
    <x v="1"/>
    <n v="10"/>
    <x v="0"/>
    <s v="No"/>
    <x v="1"/>
    <s v="Yes"/>
    <n v="20"/>
    <n v="10"/>
    <n v="20"/>
  </r>
  <r>
    <n v="3522"/>
    <x v="276"/>
    <x v="1"/>
    <x v="290"/>
    <x v="0"/>
    <n v="5"/>
    <x v="2"/>
    <s v="No"/>
    <x v="1"/>
    <s v="No"/>
    <n v="0"/>
    <n v="0"/>
    <n v="5"/>
  </r>
  <r>
    <n v="3523"/>
    <x v="277"/>
    <x v="0"/>
    <x v="291"/>
    <x v="1"/>
    <n v="15"/>
    <x v="0"/>
    <s v="Yes"/>
    <x v="0"/>
    <s v="Yes"/>
    <n v="20"/>
    <n v="3"/>
    <n v="62"/>
  </r>
  <r>
    <n v="3524"/>
    <x v="278"/>
    <x v="2"/>
    <x v="292"/>
    <x v="0"/>
    <n v="10"/>
    <x v="1"/>
    <s v="No"/>
    <x v="1"/>
    <s v="Yes"/>
    <n v="20"/>
    <n v="15"/>
    <n v="15"/>
  </r>
  <r>
    <n v="3525"/>
    <x v="279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B40:C44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3">
    <format dxfId="180">
      <pivotArea outline="0" collapsedLevelsAreSubtotals="1" fieldPosition="0"/>
    </format>
    <format dxfId="181">
      <pivotArea dataOnly="0" labelOnly="1" outline="0" axis="axisValues" fieldPosition="0"/>
    </format>
    <format dxfId="18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_Season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B28:C32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4" baseItem="0"/>
  </dataFields>
  <formats count="3">
    <format dxfId="185">
      <pivotArea outline="0" collapsedLevelsAreSubtotals="1" fieldPosition="0"/>
    </format>
    <format dxfId="186">
      <pivotArea dataOnly="0" labelOnly="1" outline="0" axis="axisValues" fieldPosition="0"/>
    </format>
    <format dxfId="1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14:C17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3">
    <format dxfId="190">
      <pivotArea outline="0" collapsedLevelsAreSubtotals="1" fieldPosition="0"/>
    </format>
    <format dxfId="189">
      <pivotArea dataOnly="0" labelOnly="1" outline="0" axis="axisValues" fieldPosition="0"/>
    </format>
    <format dxfId="188">
      <pivotArea dataOnly="0" labelOnly="1" outline="0" axis="axisValues" fieldPosition="0"/>
    </format>
  </formats>
  <chartFormats count="1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_Season"/>
    <pivotTable tabId="3" name="Tabela dinâmica3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204">
  <autoFilter ref="A1:M296">
    <filterColumn colId="7">
      <filters>
        <filter val="Yes"/>
      </filters>
    </filterColumn>
  </autoFilter>
  <tableColumns count="13">
    <tableColumn id="1" name="Subscriber ID" dataDxfId="203"/>
    <tableColumn id="2" name="Name" dataDxfId="202"/>
    <tableColumn id="3" name="Plan" dataDxfId="201"/>
    <tableColumn id="4" name="Start Date" dataDxfId="200"/>
    <tableColumn id="5" name="Auto Renewal" dataDxfId="199"/>
    <tableColumn id="6" name="Subscription Price" dataDxfId="198" dataCellStyle="Moeda"/>
    <tableColumn id="7" name="Subscription Type" dataDxfId="197"/>
    <tableColumn id="8" name="EA Play Season Pass" dataDxfId="196"/>
    <tableColumn id="13" name="EA Play Season Pass_x000a_Price" dataDxfId="195" dataCellStyle="Moeda"/>
    <tableColumn id="9" name="Minecraft Season Pass" dataDxfId="194"/>
    <tableColumn id="10" name="Minecraft Season Pass Price" dataDxfId="193" dataCellStyle="Moeda"/>
    <tableColumn id="11" name="Coupon Value" dataDxfId="192" dataCellStyle="Moeda"/>
    <tableColumn id="12" name="Total Value" dataDxfId="19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P11" sqref="P1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P11" sqref="P11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18.875" customWidth="1"/>
    <col min="10" max="10" width="16.75" bestFit="1" customWidth="1"/>
    <col min="11" max="11" width="21.25" bestFit="1" customWidth="1"/>
    <col min="12" max="12" width="12.75" bestFit="1" customWidth="1"/>
    <col min="13" max="13" width="15.5" bestFit="1" customWidth="1"/>
  </cols>
  <sheetData>
    <row r="1" spans="1:13" ht="4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4:E586"/>
  <sheetViews>
    <sheetView showGridLines="0" topLeftCell="A7" workbookViewId="0">
      <selection activeCell="P11" sqref="P11"/>
    </sheetView>
  </sheetViews>
  <sheetFormatPr defaultRowHeight="14.25"/>
  <cols>
    <col min="2" max="2" width="18" customWidth="1"/>
    <col min="3" max="3" width="35.125" style="14" customWidth="1"/>
    <col min="4" max="4" width="38.375" customWidth="1"/>
    <col min="5" max="5" width="10.75" style="14" customWidth="1"/>
    <col min="6" max="6" width="10.75" customWidth="1"/>
    <col min="7" max="7" width="13.875" customWidth="1"/>
    <col min="8" max="9" width="16.5" customWidth="1"/>
    <col min="10" max="10" width="14.5" customWidth="1"/>
    <col min="11" max="11" width="16.625" customWidth="1"/>
    <col min="12" max="12" width="10.125" bestFit="1" customWidth="1"/>
    <col min="13" max="13" width="10.75" customWidth="1"/>
    <col min="14" max="14" width="12.125" customWidth="1"/>
    <col min="15" max="15" width="13.875" bestFit="1" customWidth="1"/>
    <col min="16" max="16" width="15.5" customWidth="1"/>
    <col min="17" max="17" width="14.125" customWidth="1"/>
    <col min="18" max="18" width="13.375" bestFit="1" customWidth="1"/>
    <col min="19" max="19" width="13.625" bestFit="1" customWidth="1"/>
    <col min="20" max="20" width="13.875" customWidth="1"/>
    <col min="21" max="21" width="16.625" bestFit="1" customWidth="1"/>
    <col min="22" max="22" width="12" customWidth="1"/>
    <col min="23" max="23" width="14.125" bestFit="1" customWidth="1"/>
    <col min="24" max="24" width="15.25" customWidth="1"/>
    <col min="25" max="25" width="11.25" customWidth="1"/>
    <col min="26" max="26" width="13.625" bestFit="1" customWidth="1"/>
    <col min="27" max="27" width="14.125" bestFit="1" customWidth="1"/>
    <col min="28" max="28" width="13.125" customWidth="1"/>
    <col min="29" max="29" width="12.5" customWidth="1"/>
    <col min="30" max="30" width="11.875" customWidth="1"/>
    <col min="31" max="31" width="13.875" bestFit="1" customWidth="1"/>
    <col min="32" max="32" width="10.875" customWidth="1"/>
    <col min="33" max="33" width="9.875" customWidth="1"/>
    <col min="34" max="34" width="13.25" bestFit="1" customWidth="1"/>
    <col min="35" max="35" width="15.375" bestFit="1" customWidth="1"/>
    <col min="36" max="36" width="13.5" customWidth="1"/>
    <col min="37" max="37" width="14.75" bestFit="1" customWidth="1"/>
    <col min="38" max="38" width="16.125" bestFit="1" customWidth="1"/>
    <col min="39" max="39" width="11.875" bestFit="1" customWidth="1"/>
    <col min="40" max="40" width="13.75" customWidth="1"/>
    <col min="41" max="42" width="13.75" bestFit="1" customWidth="1"/>
    <col min="43" max="43" width="12" customWidth="1"/>
    <col min="44" max="44" width="16" bestFit="1" customWidth="1"/>
    <col min="45" max="45" width="12.75" bestFit="1" customWidth="1"/>
    <col min="46" max="46" width="15.5" bestFit="1" customWidth="1"/>
    <col min="47" max="47" width="11.5" customWidth="1"/>
    <col min="48" max="48" width="13.375" bestFit="1" customWidth="1"/>
    <col min="49" max="49" width="13.25" customWidth="1"/>
    <col min="50" max="50" width="12.625" bestFit="1" customWidth="1"/>
    <col min="51" max="52" width="12.125" customWidth="1"/>
    <col min="53" max="53" width="14.125" bestFit="1" customWidth="1"/>
    <col min="54" max="54" width="13.125" customWidth="1"/>
    <col min="55" max="55" width="15.125" bestFit="1" customWidth="1"/>
    <col min="56" max="56" width="15" bestFit="1" customWidth="1"/>
    <col min="57" max="57" width="12.75" bestFit="1" customWidth="1"/>
    <col min="58" max="58" width="11.5" customWidth="1"/>
    <col min="59" max="59" width="12.25" customWidth="1"/>
    <col min="60" max="60" width="15.25" bestFit="1" customWidth="1"/>
    <col min="61" max="61" width="11.375" customWidth="1"/>
    <col min="62" max="62" width="14.75" customWidth="1"/>
    <col min="63" max="63" width="11.625" customWidth="1"/>
    <col min="64" max="64" width="14" bestFit="1" customWidth="1"/>
    <col min="65" max="65" width="12.375" customWidth="1"/>
    <col min="66" max="66" width="14.75" customWidth="1"/>
    <col min="67" max="67" width="13.125" customWidth="1"/>
    <col min="68" max="68" width="14.875" bestFit="1" customWidth="1"/>
    <col min="69" max="69" width="13" bestFit="1" customWidth="1"/>
    <col min="70" max="70" width="11.75" customWidth="1"/>
    <col min="71" max="71" width="11.25" customWidth="1"/>
    <col min="72" max="72" width="12" customWidth="1"/>
    <col min="73" max="73" width="16.125" bestFit="1" customWidth="1"/>
    <col min="74" max="74" width="14" bestFit="1" customWidth="1"/>
    <col min="75" max="75" width="15" bestFit="1" customWidth="1"/>
    <col min="76" max="76" width="14.125" bestFit="1" customWidth="1"/>
    <col min="77" max="77" width="15.25" bestFit="1" customWidth="1"/>
    <col min="78" max="78" width="14.75" bestFit="1" customWidth="1"/>
    <col min="79" max="80" width="15.125" bestFit="1" customWidth="1"/>
    <col min="81" max="81" width="15.375" bestFit="1" customWidth="1"/>
    <col min="82" max="82" width="12.75" bestFit="1" customWidth="1"/>
    <col min="83" max="83" width="14.25" bestFit="1" customWidth="1"/>
    <col min="84" max="84" width="16.25" bestFit="1" customWidth="1"/>
    <col min="85" max="85" width="11.75" bestFit="1" customWidth="1"/>
    <col min="86" max="86" width="13.5" bestFit="1" customWidth="1"/>
    <col min="87" max="87" width="14.875" bestFit="1" customWidth="1"/>
    <col min="88" max="88" width="14.25" bestFit="1" customWidth="1"/>
    <col min="89" max="89" width="13.875" bestFit="1" customWidth="1"/>
    <col min="90" max="90" width="11.875" bestFit="1" customWidth="1"/>
    <col min="91" max="91" width="11.125" bestFit="1" customWidth="1"/>
    <col min="92" max="92" width="12.625" bestFit="1" customWidth="1"/>
    <col min="93" max="93" width="13.625" bestFit="1" customWidth="1"/>
    <col min="94" max="94" width="19.375" bestFit="1" customWidth="1"/>
    <col min="95" max="95" width="11.5" bestFit="1" customWidth="1"/>
    <col min="96" max="96" width="12" bestFit="1" customWidth="1"/>
    <col min="97" max="97" width="10.625" bestFit="1" customWidth="1"/>
    <col min="98" max="98" width="11" bestFit="1" customWidth="1"/>
    <col min="99" max="99" width="14.75" bestFit="1" customWidth="1"/>
    <col min="100" max="100" width="11.75" bestFit="1" customWidth="1"/>
    <col min="101" max="101" width="10.25" bestFit="1" customWidth="1"/>
    <col min="102" max="102" width="15.25" bestFit="1" customWidth="1"/>
    <col min="103" max="103" width="14.625" bestFit="1" customWidth="1"/>
    <col min="104" max="104" width="13.25" bestFit="1" customWidth="1"/>
    <col min="105" max="105" width="16.375" bestFit="1" customWidth="1"/>
    <col min="106" max="106" width="13.5" bestFit="1" customWidth="1"/>
    <col min="107" max="107" width="13.75" bestFit="1" customWidth="1"/>
    <col min="108" max="108" width="12.75" bestFit="1" customWidth="1"/>
    <col min="109" max="109" width="18.375" bestFit="1" customWidth="1"/>
    <col min="110" max="110" width="18.625" bestFit="1" customWidth="1"/>
    <col min="111" max="111" width="12.125" bestFit="1" customWidth="1"/>
    <col min="112" max="112" width="10" bestFit="1" customWidth="1"/>
    <col min="113" max="113" width="16.25" bestFit="1" customWidth="1"/>
    <col min="114" max="114" width="13.875" bestFit="1" customWidth="1"/>
    <col min="115" max="115" width="12.625" bestFit="1" customWidth="1"/>
    <col min="116" max="116" width="10.875" bestFit="1" customWidth="1"/>
    <col min="117" max="117" width="11.125" bestFit="1" customWidth="1"/>
    <col min="118" max="118" width="14.875" bestFit="1" customWidth="1"/>
    <col min="119" max="119" width="13.625" bestFit="1" customWidth="1"/>
    <col min="120" max="120" width="10.375" bestFit="1" customWidth="1"/>
    <col min="121" max="121" width="15.5" bestFit="1" customWidth="1"/>
    <col min="122" max="122" width="14.5" bestFit="1" customWidth="1"/>
    <col min="123" max="123" width="10.875" bestFit="1" customWidth="1"/>
    <col min="124" max="124" width="14.125" bestFit="1" customWidth="1"/>
    <col min="125" max="125" width="12.375" bestFit="1" customWidth="1"/>
    <col min="126" max="126" width="16.25" bestFit="1" customWidth="1"/>
    <col min="127" max="127" width="13.375" bestFit="1" customWidth="1"/>
    <col min="128" max="128" width="13.875" bestFit="1" customWidth="1"/>
    <col min="129" max="129" width="16" bestFit="1" customWidth="1"/>
    <col min="130" max="130" width="15.5" bestFit="1" customWidth="1"/>
    <col min="131" max="131" width="14.375" bestFit="1" customWidth="1"/>
    <col min="132" max="132" width="14.5" bestFit="1" customWidth="1"/>
    <col min="133" max="133" width="15.5" bestFit="1" customWidth="1"/>
    <col min="134" max="134" width="14.375" bestFit="1" customWidth="1"/>
    <col min="135" max="135" width="14.5" bestFit="1" customWidth="1"/>
    <col min="136" max="136" width="16" bestFit="1" customWidth="1"/>
    <col min="137" max="137" width="14.5" bestFit="1" customWidth="1"/>
    <col min="138" max="138" width="16.125" bestFit="1" customWidth="1"/>
    <col min="139" max="139" width="15.375" bestFit="1" customWidth="1"/>
    <col min="140" max="140" width="11.375" bestFit="1" customWidth="1"/>
    <col min="141" max="141" width="11.75" bestFit="1" customWidth="1"/>
    <col min="142" max="142" width="11.375" bestFit="1" customWidth="1"/>
    <col min="143" max="143" width="14.25" bestFit="1" customWidth="1"/>
    <col min="144" max="144" width="15.25" bestFit="1" customWidth="1"/>
    <col min="145" max="145" width="14.875" bestFit="1" customWidth="1"/>
    <col min="146" max="146" width="13.375" bestFit="1" customWidth="1"/>
    <col min="147" max="147" width="13.5" bestFit="1" customWidth="1"/>
    <col min="148" max="148" width="14.125" bestFit="1" customWidth="1"/>
    <col min="149" max="149" width="11.5" bestFit="1" customWidth="1"/>
    <col min="150" max="150" width="13.5" bestFit="1" customWidth="1"/>
    <col min="151" max="151" width="13.375" bestFit="1" customWidth="1"/>
    <col min="152" max="152" width="12.5" bestFit="1" customWidth="1"/>
    <col min="153" max="153" width="13.75" bestFit="1" customWidth="1"/>
    <col min="154" max="154" width="14.5" bestFit="1" customWidth="1"/>
    <col min="155" max="155" width="12.125" bestFit="1" customWidth="1"/>
    <col min="156" max="156" width="12.5" bestFit="1" customWidth="1"/>
    <col min="157" max="158" width="13.125" bestFit="1" customWidth="1"/>
    <col min="159" max="159" width="16.625" bestFit="1" customWidth="1"/>
    <col min="160" max="160" width="12.625" bestFit="1" customWidth="1"/>
    <col min="161" max="161" width="10.5" bestFit="1" customWidth="1"/>
    <col min="162" max="162" width="13.625" bestFit="1" customWidth="1"/>
    <col min="163" max="163" width="14.75" bestFit="1" customWidth="1"/>
    <col min="164" max="164" width="13.375" bestFit="1" customWidth="1"/>
    <col min="165" max="165" width="12.375" bestFit="1" customWidth="1"/>
    <col min="166" max="166" width="14.875" bestFit="1" customWidth="1"/>
    <col min="167" max="167" width="13.25" bestFit="1" customWidth="1"/>
    <col min="168" max="168" width="14.25" bestFit="1" customWidth="1"/>
    <col min="169" max="169" width="13.375" bestFit="1" customWidth="1"/>
    <col min="170" max="170" width="16.625" bestFit="1" customWidth="1"/>
    <col min="171" max="171" width="15" bestFit="1" customWidth="1"/>
    <col min="172" max="172" width="13" bestFit="1" customWidth="1"/>
    <col min="173" max="173" width="12.5" bestFit="1" customWidth="1"/>
    <col min="174" max="174" width="12.125" bestFit="1" customWidth="1"/>
    <col min="175" max="175" width="15.125" bestFit="1" customWidth="1"/>
    <col min="176" max="177" width="14.375" bestFit="1" customWidth="1"/>
    <col min="178" max="178" width="13.5" bestFit="1" customWidth="1"/>
    <col min="179" max="179" width="11.25" bestFit="1" customWidth="1"/>
    <col min="180" max="180" width="14.625" bestFit="1" customWidth="1"/>
    <col min="181" max="181" width="14.5" bestFit="1" customWidth="1"/>
    <col min="182" max="182" width="16.375" bestFit="1" customWidth="1"/>
    <col min="183" max="183" width="13.875" bestFit="1" customWidth="1"/>
    <col min="184" max="184" width="13.5" bestFit="1" customWidth="1"/>
    <col min="185" max="185" width="16.75" bestFit="1" customWidth="1"/>
    <col min="186" max="186" width="14.625" bestFit="1" customWidth="1"/>
    <col min="187" max="187" width="17.75" bestFit="1" customWidth="1"/>
    <col min="188" max="188" width="13.75" bestFit="1" customWidth="1"/>
    <col min="189" max="189" width="12.25" bestFit="1" customWidth="1"/>
    <col min="190" max="190" width="13.125" bestFit="1" customWidth="1"/>
    <col min="191" max="191" width="12.375" bestFit="1" customWidth="1"/>
    <col min="192" max="192" width="13.625" bestFit="1" customWidth="1"/>
    <col min="193" max="193" width="12.5" bestFit="1" customWidth="1"/>
    <col min="194" max="194" width="15.125" bestFit="1" customWidth="1"/>
    <col min="195" max="195" width="16.625" bestFit="1" customWidth="1"/>
    <col min="196" max="196" width="14.5" bestFit="1" customWidth="1"/>
    <col min="197" max="197" width="12" bestFit="1" customWidth="1"/>
    <col min="198" max="198" width="13.5" bestFit="1" customWidth="1"/>
    <col min="199" max="199" width="15.75" bestFit="1" customWidth="1"/>
    <col min="200" max="200" width="10.75" bestFit="1" customWidth="1"/>
    <col min="201" max="201" width="15.625" bestFit="1" customWidth="1"/>
    <col min="202" max="202" width="16.75" bestFit="1" customWidth="1"/>
    <col min="203" max="203" width="12.5" bestFit="1" customWidth="1"/>
    <col min="204" max="204" width="12.625" bestFit="1" customWidth="1"/>
    <col min="205" max="205" width="15.25" bestFit="1" customWidth="1"/>
    <col min="206" max="206" width="14.75" bestFit="1" customWidth="1"/>
    <col min="207" max="207" width="14.125" bestFit="1" customWidth="1"/>
    <col min="208" max="208" width="16.75" bestFit="1" customWidth="1"/>
    <col min="209" max="209" width="12.75" bestFit="1" customWidth="1"/>
    <col min="210" max="210" width="11.25" bestFit="1" customWidth="1"/>
    <col min="211" max="211" width="14.5" bestFit="1" customWidth="1"/>
    <col min="212" max="212" width="10.875" bestFit="1" customWidth="1"/>
    <col min="213" max="213" width="12.25" bestFit="1" customWidth="1"/>
    <col min="214" max="214" width="14.375" bestFit="1" customWidth="1"/>
    <col min="215" max="215" width="12.75" bestFit="1" customWidth="1"/>
    <col min="216" max="216" width="13.625" bestFit="1" customWidth="1"/>
    <col min="217" max="217" width="13.75" bestFit="1" customWidth="1"/>
    <col min="218" max="218" width="13.625" bestFit="1" customWidth="1"/>
    <col min="219" max="219" width="13.125" bestFit="1" customWidth="1"/>
    <col min="220" max="220" width="13.625" bestFit="1" customWidth="1"/>
    <col min="221" max="221" width="12.125" bestFit="1" customWidth="1"/>
    <col min="222" max="222" width="12.375" bestFit="1" customWidth="1"/>
    <col min="223" max="223" width="15.75" bestFit="1" customWidth="1"/>
    <col min="224" max="224" width="8.875" customWidth="1"/>
    <col min="225" max="225" width="9.625" bestFit="1" customWidth="1"/>
    <col min="226" max="226" width="15.25" bestFit="1" customWidth="1"/>
    <col min="227" max="227" width="13.75" bestFit="1" customWidth="1"/>
    <col min="228" max="228" width="18" bestFit="1" customWidth="1"/>
    <col min="229" max="229" width="14.875" bestFit="1" customWidth="1"/>
    <col min="230" max="230" width="14.75" bestFit="1" customWidth="1"/>
    <col min="231" max="231" width="15.25" bestFit="1" customWidth="1"/>
    <col min="232" max="233" width="11.5" bestFit="1" customWidth="1"/>
    <col min="234" max="234" width="13" bestFit="1" customWidth="1"/>
    <col min="235" max="235" width="16.25" bestFit="1" customWidth="1"/>
    <col min="236" max="236" width="13" bestFit="1" customWidth="1"/>
    <col min="237" max="237" width="15.5" bestFit="1" customWidth="1"/>
    <col min="238" max="238" width="15.75" bestFit="1" customWidth="1"/>
    <col min="239" max="239" width="15.375" bestFit="1" customWidth="1"/>
    <col min="240" max="240" width="13.25" bestFit="1" customWidth="1"/>
    <col min="241" max="242" width="12.375" bestFit="1" customWidth="1"/>
    <col min="243" max="243" width="14.375" bestFit="1" customWidth="1"/>
    <col min="244" max="244" width="12.5" bestFit="1" customWidth="1"/>
    <col min="245" max="245" width="11.375" bestFit="1" customWidth="1"/>
    <col min="246" max="246" width="15.375" bestFit="1" customWidth="1"/>
    <col min="247" max="247" width="15.625" bestFit="1" customWidth="1"/>
    <col min="248" max="248" width="13.5" bestFit="1" customWidth="1"/>
    <col min="249" max="249" width="17.25" bestFit="1" customWidth="1"/>
    <col min="250" max="250" width="15" bestFit="1" customWidth="1"/>
    <col min="251" max="251" width="12.5" bestFit="1" customWidth="1"/>
    <col min="252" max="252" width="14.125" bestFit="1" customWidth="1"/>
    <col min="253" max="253" width="12.625" bestFit="1" customWidth="1"/>
    <col min="254" max="254" width="15.25" bestFit="1" customWidth="1"/>
    <col min="255" max="255" width="17.75" bestFit="1" customWidth="1"/>
    <col min="256" max="256" width="11.125" bestFit="1" customWidth="1"/>
    <col min="257" max="257" width="14" bestFit="1" customWidth="1"/>
    <col min="258" max="258" width="13.625" bestFit="1" customWidth="1"/>
    <col min="259" max="259" width="13" bestFit="1" customWidth="1"/>
    <col min="260" max="260" width="14.75" bestFit="1" customWidth="1"/>
    <col min="261" max="261" width="12.375" bestFit="1" customWidth="1"/>
    <col min="262" max="262" width="15.125" bestFit="1" customWidth="1"/>
    <col min="263" max="263" width="13.5" bestFit="1" customWidth="1"/>
    <col min="264" max="264" width="15.125" bestFit="1" customWidth="1"/>
    <col min="265" max="265" width="17.625" bestFit="1" customWidth="1"/>
    <col min="266" max="266" width="13.5" bestFit="1" customWidth="1"/>
    <col min="267" max="267" width="12.125" bestFit="1" customWidth="1"/>
    <col min="268" max="268" width="15.125" bestFit="1" customWidth="1"/>
    <col min="269" max="269" width="15.625" bestFit="1" customWidth="1"/>
    <col min="270" max="270" width="11" bestFit="1" customWidth="1"/>
    <col min="271" max="271" width="14.75" bestFit="1" customWidth="1"/>
    <col min="272" max="272" width="15.625" bestFit="1" customWidth="1"/>
    <col min="273" max="273" width="13.625" bestFit="1" customWidth="1"/>
    <col min="274" max="274" width="13.875" bestFit="1" customWidth="1"/>
    <col min="275" max="275" width="17.125" bestFit="1" customWidth="1"/>
    <col min="276" max="276" width="14.75" bestFit="1" customWidth="1"/>
    <col min="277" max="277" width="18.125" bestFit="1" customWidth="1"/>
    <col min="278" max="278" width="14.5" bestFit="1" customWidth="1"/>
    <col min="279" max="279" width="10.875" bestFit="1" customWidth="1"/>
    <col min="280" max="280" width="9.25" bestFit="1" customWidth="1"/>
    <col min="281" max="281" width="11.5" bestFit="1" customWidth="1"/>
    <col min="282" max="282" width="12.625" bestFit="1" customWidth="1"/>
    <col min="283" max="283" width="10.75" bestFit="1" customWidth="1"/>
  </cols>
  <sheetData>
    <row r="4" spans="2:3">
      <c r="B4" t="s">
        <v>313</v>
      </c>
    </row>
    <row r="7" spans="2:3">
      <c r="B7" t="s">
        <v>314</v>
      </c>
    </row>
    <row r="8" spans="2:3">
      <c r="B8" t="s">
        <v>319</v>
      </c>
      <c r="C8"/>
    </row>
    <row r="9" spans="2:3">
      <c r="C9"/>
    </row>
    <row r="10" spans="2:3">
      <c r="C10"/>
    </row>
    <row r="11" spans="2:3">
      <c r="C11"/>
    </row>
    <row r="12" spans="2:3">
      <c r="B12" s="12" t="s">
        <v>16</v>
      </c>
      <c r="C12" t="s">
        <v>24</v>
      </c>
    </row>
    <row r="14" spans="2:3">
      <c r="B14" s="12" t="s">
        <v>315</v>
      </c>
      <c r="C14" s="14" t="s">
        <v>317</v>
      </c>
    </row>
    <row r="15" spans="2:3">
      <c r="B15" s="13" t="s">
        <v>23</v>
      </c>
      <c r="C15" s="14">
        <v>217</v>
      </c>
    </row>
    <row r="16" spans="2:3">
      <c r="B16" s="13" t="s">
        <v>19</v>
      </c>
      <c r="C16" s="14">
        <v>1537</v>
      </c>
    </row>
    <row r="17" spans="2:5">
      <c r="B17" s="13" t="s">
        <v>316</v>
      </c>
      <c r="C17" s="14">
        <v>1754</v>
      </c>
    </row>
    <row r="18" spans="2:5">
      <c r="C18"/>
    </row>
    <row r="19" spans="2:5">
      <c r="C19"/>
    </row>
    <row r="20" spans="2:5">
      <c r="C20"/>
    </row>
    <row r="21" spans="2:5">
      <c r="C21"/>
    </row>
    <row r="22" spans="2:5">
      <c r="C22"/>
    </row>
    <row r="23" spans="2:5">
      <c r="B23" t="s">
        <v>321</v>
      </c>
      <c r="C23"/>
    </row>
    <row r="24" spans="2:5">
      <c r="C24"/>
    </row>
    <row r="25" spans="2:5">
      <c r="C25"/>
    </row>
    <row r="26" spans="2:5">
      <c r="B26" s="12" t="s">
        <v>16</v>
      </c>
      <c r="C26" t="s">
        <v>24</v>
      </c>
    </row>
    <row r="28" spans="2:5">
      <c r="B28" s="12" t="s">
        <v>315</v>
      </c>
      <c r="C28" s="14" t="s">
        <v>322</v>
      </c>
    </row>
    <row r="29" spans="2:5">
      <c r="B29" s="13" t="s">
        <v>22</v>
      </c>
      <c r="C29" s="14">
        <v>0</v>
      </c>
    </row>
    <row r="30" spans="2:5">
      <c r="B30" s="13" t="s">
        <v>26</v>
      </c>
      <c r="C30" s="14">
        <v>0</v>
      </c>
    </row>
    <row r="31" spans="2:5">
      <c r="B31" s="13" t="s">
        <v>18</v>
      </c>
      <c r="C31" s="14">
        <v>600</v>
      </c>
    </row>
    <row r="32" spans="2:5">
      <c r="B32" s="13" t="s">
        <v>316</v>
      </c>
      <c r="C32" s="14">
        <v>600</v>
      </c>
      <c r="E32" s="14">
        <f>GETPIVOTDATA("EA Play Season Pass
Price",$B$28)</f>
        <v>600</v>
      </c>
    </row>
    <row r="33" spans="2:5">
      <c r="C33"/>
    </row>
    <row r="34" spans="2:5">
      <c r="C34"/>
    </row>
    <row r="35" spans="2:5">
      <c r="B35" t="s">
        <v>323</v>
      </c>
      <c r="C35"/>
    </row>
    <row r="36" spans="2:5">
      <c r="C36"/>
    </row>
    <row r="37" spans="2:5">
      <c r="C37"/>
    </row>
    <row r="38" spans="2:5">
      <c r="B38" s="12" t="s">
        <v>16</v>
      </c>
      <c r="C38" t="s">
        <v>24</v>
      </c>
    </row>
    <row r="40" spans="2:5">
      <c r="B40" s="12" t="s">
        <v>315</v>
      </c>
      <c r="C40" s="14" t="s">
        <v>318</v>
      </c>
    </row>
    <row r="41" spans="2:5">
      <c r="B41" s="13" t="s">
        <v>22</v>
      </c>
      <c r="C41" s="14">
        <v>0</v>
      </c>
    </row>
    <row r="42" spans="2:5">
      <c r="B42" s="13" t="s">
        <v>26</v>
      </c>
      <c r="C42" s="14">
        <v>540</v>
      </c>
    </row>
    <row r="43" spans="2:5">
      <c r="B43" s="13" t="s">
        <v>18</v>
      </c>
      <c r="C43" s="14">
        <v>400</v>
      </c>
    </row>
    <row r="44" spans="2:5">
      <c r="B44" s="13" t="s">
        <v>316</v>
      </c>
      <c r="C44" s="14">
        <v>940</v>
      </c>
      <c r="E44" s="14">
        <f>GETPIVOTDATA("Minecraft Season Pass Price",$B$40)</f>
        <v>940</v>
      </c>
    </row>
    <row r="45" spans="2:5">
      <c r="C45"/>
    </row>
    <row r="46" spans="2:5">
      <c r="C46"/>
    </row>
    <row r="47" spans="2:5">
      <c r="C47"/>
    </row>
    <row r="48" spans="2:5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4"/>
  <sheetViews>
    <sheetView showGridLines="0" showRowColHeaders="0" tabSelected="1" zoomScaleNormal="100" workbookViewId="0">
      <selection activeCell="H5" sqref="H5"/>
    </sheetView>
  </sheetViews>
  <sheetFormatPr defaultRowHeight="14.25"/>
  <cols>
    <col min="1" max="1" width="37.875" style="4" customWidth="1"/>
    <col min="2" max="2" width="3.625" customWidth="1"/>
    <col min="12" max="12" width="6.625" customWidth="1"/>
  </cols>
  <sheetData>
    <row r="1" spans="2:25" ht="21.75" customHeight="1"/>
    <row r="2" spans="2:25" ht="18" customHeight="1" thickBot="1">
      <c r="C2" s="16" t="s">
        <v>320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  <c r="O2" s="17"/>
      <c r="P2" s="17"/>
      <c r="Q2" s="17"/>
      <c r="R2" s="17"/>
      <c r="S2" s="17"/>
      <c r="T2" s="18"/>
      <c r="U2" s="18"/>
      <c r="V2" s="18"/>
      <c r="W2" s="18"/>
      <c r="X2" s="18"/>
      <c r="Y2" s="18"/>
    </row>
    <row r="3" spans="2:25" ht="20.25" customHeight="1" thickTop="1"/>
    <row r="4" spans="2:25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2:2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2: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2: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2:2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2:25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2:2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2: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2:2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2:25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2:25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2:2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2:2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2:2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2:2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2: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2:2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2:2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2:25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2:2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2:25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2:2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2:25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2: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2: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2: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2: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2: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2: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2: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2: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2: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2: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2:2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2:2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2:2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2:2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2:2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2:25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2:25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2:25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2:25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2:25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2:2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2:25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2:25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2:25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2:25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2:25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2:25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2:25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2:25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2:25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2:25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2:25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2:25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2:25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2: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2: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2:25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2: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2: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2: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2: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2: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2: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2:25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2:25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2:25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2:25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2:25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2:25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2:25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2:25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2:25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2:25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2:25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2:25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2:25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2:25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2:25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2:25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2:25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2:25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2:25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2:25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2:25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2:25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2:25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2:25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2:25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2:25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2:25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2:25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2:25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2:25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2:25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2:25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2:25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2:25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2:25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2:25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2:25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2:25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2:25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2:25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2:25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2:25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2:25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2:25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2:25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2:25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2:25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2:25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2:25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2:25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2:25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2:25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2:25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2:25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2:25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2:25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2:25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2:25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2:25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2:25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2:25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2:25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2:25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2:25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2:25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2:25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2:25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2:25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2:25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2:25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2:25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2:25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2:25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2:25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2:25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2:25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2:25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2:25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2:25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2:25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2:25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2:25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2:25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2:25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2:25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2:25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2:25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2:25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2:25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2:25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2:25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2:25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2:25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2:25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2:25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2:25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2:25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2:25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2:25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2:25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2:25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2:25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2:25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2:25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2:25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2:25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2:25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2:25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2:25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2:25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2:25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2:25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2:25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2:25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2:25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2:25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2:25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2:25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2:25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2:25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2:25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2:25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2:25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2:25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2:25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2:25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2:25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2:25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2:25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2:25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2:25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2:25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2:25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2:25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2:25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2:25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2:25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2:25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2:25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2:25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2:25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2:25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2:25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2:25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2:25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2:25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2:25"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2:25"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2:25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2:25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2:25"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2:25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2:25"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2:25"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2:25"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2:25"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2:25"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2:25"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2:25"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2:25"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2:25"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2:25"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2:25"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2:25"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2:25"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2:25"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2:25"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2:25"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2:25"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2:25"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2:25"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2:25"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19483571-f922-4e8e-9c1c-26f0a2252132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851b35d3-0456-4d6a-bc2f-da927e91d15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Jonathas Nogueira</cp:lastModifiedBy>
  <dcterms:created xsi:type="dcterms:W3CDTF">2024-12-19T13:13:10Z</dcterms:created>
  <dcterms:modified xsi:type="dcterms:W3CDTF">2026-01-11T00:19:24Z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